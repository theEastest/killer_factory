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6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8.xml" ContentType="application/vnd.openxmlformats-officedocument.spreadsheetml.worksheet+xml"/>
  <Override PartName="/xl/tables/table29.xml" ContentType="application/vnd.openxmlformats-officedocument.spreadsheetml.table+xml"/>
  <Override PartName="/xl/worksheets/sheet9.xml" ContentType="application/vnd.openxmlformats-officedocument.spreadsheetml.worksheet+xml"/>
  <Override PartName="/xl/tables/table30.xml" ContentType="application/vnd.openxmlformats-officedocument.spreadsheetml.table+xml"/>
  <Override PartName="/xl/worksheets/sheet10.xml" ContentType="application/vnd.openxmlformats-officedocument.spreadsheetml.worksheet+xml"/>
  <Override PartName="/xl/tables/table3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2394e2dbf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卡审核" sheetId="1" r:id="R07e4650cf3cf4abe"/>
    <x:sheet xmlns:r="http://schemas.openxmlformats.org/officeDocument/2006/relationships" name="全局规则" sheetId="2" r:id="Rc415ad0175c54a13"/>
    <x:sheet xmlns:r="http://schemas.openxmlformats.org/officeDocument/2006/relationships" name="初始卡组" sheetId="3" r:id="R92477f0888cf485b"/>
    <x:sheet xmlns:r="http://schemas.openxmlformats.org/officeDocument/2006/relationships" name="位置收益总览" sheetId="4" r:id="Rac7194d0233c4fa7"/>
    <x:sheet xmlns:r="http://schemas.openxmlformats.org/officeDocument/2006/relationships" name="废料体系" sheetId="5" r:id="Rc038a38203224c79"/>
    <x:sheet xmlns:r="http://schemas.openxmlformats.org/officeDocument/2006/relationships" name="牌堆体系" sheetId="6" r:id="R7ccad305150b4f00"/>
    <x:sheet xmlns:r="http://schemas.openxmlformats.org/officeDocument/2006/relationships" name="审核总览" sheetId="7" r:id="R5d7549ea1aee47c2"/>
    <x:sheet xmlns:r="http://schemas.openxmlformats.org/officeDocument/2006/relationships" name="构筑路线" sheetId="8" r:id="R1cce70ac0eae446a"/>
    <x:sheet xmlns:r="http://schemas.openxmlformats.org/officeDocument/2006/relationships" name="卡牌审核清单" sheetId="9" r:id="Re27ad71003a2449f"/>
    <x:sheet xmlns:r="http://schemas.openxmlformats.org/officeDocument/2006/relationships" name="系统依赖矩阵" sheetId="10" r:id="R0156ce74b27e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DDEBF7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548235"/>
      </x:patternFill>
    </x:fill>
    <x:fill>
      <x:patternFill patternType="solid">
        <x:fgColor rgb="FF375623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2F5597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244062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1" fillId="16" borderId="0" xfId="0" applyNumberFormat="1" applyFont="1" applyFill="1" applyBorder="1" applyAlignment="1">
      <x:alignment horizontal="center" vertical="top" wrapText="1"/>
    </x:xf>
    <x:xf numFmtId="0" fontId="1" fillId="17" borderId="0" xfId="0" applyNumberFormat="1" applyFont="1" applyFill="1" applyBorder="1" applyAlignment="1">
      <x:alignment horizontal="center" vertical="top" wrapText="1"/>
    </x:xf>
    <x:xf numFmtId="0" fontId="1" fillId="18" borderId="0" xfId="0" applyNumberFormat="1" applyFont="1" applyFill="1" applyBorder="1" applyAlignment="1">
      <x:alignment horizontal="center" vertical="top" wrapText="1"/>
    </x:xf>
    <x:xf numFmtId="0" fontId="1" fillId="19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horizont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horizontal="center" wrapText="1"/>
    </x:xf>
    <x:xf numFmtId="0" fontId="1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horizontal="center" wrapText="1"/>
    </x:xf>
    <x:xf numFmtId="0" fontId="1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wrapText="1"/>
    </x:xf>
    <x:xf numFmtId="0" fontId="1" fillId="26" borderId="0" xfId="0" applyNumberFormat="1" applyFont="1" applyFill="1" applyBorder="1" applyAlignment="1">
      <x:alignment horizontal="center" wrapText="1"/>
    </x:xf>
    <x:xf numFmtId="0" fontId="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horizont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horizontal="center" vertical="top" wrapText="1"/>
    </x:xf>
    <x:xf numFmtId="0" fontId="1" fillId="26" borderId="0" xfId="0" applyNumberFormat="1" applyFont="1" applyFill="1" applyBorder="1" applyAlignment="1">
      <x:alignment horizontal="center" vertical="top" wrapText="1"/>
    </x:xf>
    <x:xf numFmtId="0" fontId="1" fillId="27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horizontal="center" vertical="top" wrapText="1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horizontal="center"/>
    </x:xf>
    <x:xf numFmtId="0" fontId="3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1" fillId="30" borderId="0" xfId="0" applyNumberFormat="1" applyFont="1" applyFill="1" applyBorder="1" applyAlignment="1">
      <x:alignment horizontal="center" wrapText="1"/>
    </x:xf>
    <x:xf numFmtId="0" fontId="1" fillId="30" borderId="0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1" fillId="32" borderId="0" xfId="0" applyNumberFormat="1" applyFont="1" applyFill="1" applyBorder="1" applyAlignment="1">
      <x:alignment wrapText="1"/>
    </x:xf>
    <x:xf numFmtId="0" fontId="1" fillId="32" borderId="0" xfId="0" applyNumberFormat="1" applyFont="1" applyFill="1" applyBorder="1" applyAlignment="1">
      <x:alignment horizontal="center" wrapText="1"/>
    </x:xf>
    <x:xf numFmtId="0" fontId="1" fillId="32" borderId="0" xfId="0" applyNumberFormat="1" applyFont="1" applyFill="1" applyBorder="1" applyAlignment="1">
      <x:alignment horizontal="center" vertical="center" wrapText="1"/>
    </x:xf>
    <x:xf numFmtId="0" fontId="1" fillId="32" borderId="0" xfId="0" applyNumberFormat="1" applyFont="1" applyFill="1" applyBorder="1" applyAlignment="1">
      <x:alignment horizontal="center" vertical="top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horizontal="center"/>
    </x:xf>
    <x:xf numFmtId="0" fontId="1" fillId="33" borderId="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horizontal="center"/>
    </x:xf>
    <x:xf numFmtId="0" fontId="1" fillId="3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7"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CBA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8CBAD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10a4141c845db" /><Relationship Type="http://schemas.openxmlformats.org/officeDocument/2006/relationships/theme" Target="/xl/theme/theme1.xml" Id="R4482e2da58b14740" /><Relationship Type="http://schemas.openxmlformats.org/officeDocument/2006/relationships/sharedStrings" Target="/xl/sharedStrings.xml" Id="R31ce7edaf955438d" /><Relationship Type="http://schemas.openxmlformats.org/officeDocument/2006/relationships/worksheet" Target="/xl/worksheets/sheet1.xml" Id="R07e4650cf3cf4abe" /><Relationship Type="http://schemas.openxmlformats.org/officeDocument/2006/relationships/worksheet" Target="/xl/worksheets/sheet2.xml" Id="Rc415ad0175c54a13" /><Relationship Type="http://schemas.openxmlformats.org/officeDocument/2006/relationships/worksheet" Target="/xl/worksheets/sheet3.xml" Id="R92477f0888cf485b" /><Relationship Type="http://schemas.openxmlformats.org/officeDocument/2006/relationships/worksheet" Target="/xl/worksheets/sheet4.xml" Id="Rac7194d0233c4fa7" /><Relationship Type="http://schemas.openxmlformats.org/officeDocument/2006/relationships/worksheet" Target="/xl/worksheets/sheet5.xml" Id="Rc038a38203224c79" /><Relationship Type="http://schemas.openxmlformats.org/officeDocument/2006/relationships/worksheet" Target="/xl/worksheets/sheet6.xml" Id="R7ccad305150b4f00" /><Relationship Type="http://schemas.openxmlformats.org/officeDocument/2006/relationships/worksheet" Target="/xl/worksheets/sheet7.xml" Id="R5d7549ea1aee47c2" /><Relationship Type="http://schemas.openxmlformats.org/officeDocument/2006/relationships/worksheet" Target="/xl/worksheets/sheet8.xml" Id="R1cce70ac0eae446a" /><Relationship Type="http://schemas.openxmlformats.org/officeDocument/2006/relationships/worksheet" Target="/xl/worksheets/sheet9.xml" Id="Re27ad71003a2449f" /><Relationship Type="http://schemas.openxmlformats.org/officeDocument/2006/relationships/worksheet" Target="/xl/worksheets/sheet10.xml" Id="R0156ce74b27e47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ed85b7491f46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现有条目按主体系分布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条目数</c:v>
          </c:tx>
          <c:cat>
            <c:strRef>
              <c:f>'审核总览'!$D$7:$D$18</c:f>
              <c:strCache>
                <c:ptCount val="0"/>
              </c:strCache>
            </c:strRef>
          </c:cat>
          <c:val>
            <c:numRef>
              <c:f>'审核总览'!$E$7:$E$18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ed85b7491f46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dAuditTable" displayName="CardAuditTable" ref="A1:N70" headerRowCount="1">
  <x:tableColumns count="14">
    <x:tableColumn id="1" name="分类"/>
    <x:tableColumn id="2" name="卡牌名称"/>
    <x:tableColumn id="3" name="代码类名"/>
    <x:tableColumn id="4" name="费用"/>
    <x:tableColumn id="5" name="类型"/>
    <x:tableColumn id="6" name="稀有度"/>
    <x:tableColumn id="7" name="关键词或属性"/>
    <x:tableColumn id="8" name="代码实际逻辑"/>
    <x:tableColumn id="9" name="升级效果"/>
    <x:tableColumn id="10" name="风险或备注"/>
    <x:tableColumn id="11" name="审核状态"/>
    <x:tableColumn id="12" name="审核等级"/>
    <x:tableColumn id="13" name="审核意见"/>
    <x:tableColumn id="14" name="建议修订"/>
  </x:tableColumns>
  <x:tableStyleInfo name="TableStyleMedium2" showRowStripes="1"/>
</x:table>
</file>

<file path=xl/tables/table2.xml><?xml version="1.0" encoding="utf-8"?>
<x:table xmlns:x="http://schemas.openxmlformats.org/spreadsheetml/2006/main" id="2" name="GlobalRulesTable" displayName="GlobalRulesTable" ref="A1:D10" headerRowCount="1">
  <x:tableColumns count="4">
    <x:tableColumn id="1" name="优先级"/>
    <x:tableColumn id="2" name="全局问题"/>
    <x:tableColumn id="3" name="审核结论"/>
    <x:tableColumn id="4" name="建议规则"/>
  </x:tableColumns>
  <x:tableStyleInfo name="TableStyleMedium2" showRowStripes="1"/>
</x:table>
</file>

<file path=xl/tables/table3.xml><?xml version="1.0" encoding="utf-8"?>
<x:table xmlns:x="http://schemas.openxmlformats.org/spreadsheetml/2006/main" id="3" name="AuditCountTable" displayName="AuditCountTable" ref="A13:B19" headerRowCount="1">
  <x:tableColumns count="2">
    <x:tableColumn id="1" name="审核等级"/>
    <x:tableColumn id="2" name="数量"/>
  </x:tableColumns>
  <x:tableStyleInfo name="TableStyleMedium2" showRowStripes="1"/>
</x:table>
</file>

<file path=xl/tables/table4.xml><?xml version="1.0" encoding="utf-8"?>
<x:table xmlns:x="http://schemas.openxmlformats.org/spreadsheetml/2006/main" id="5" name="PositionRulesTable" displayName="PositionRulesTable" ref="F1:I6" headerRowCount="1">
  <x:tableColumns count="4">
    <x:tableColumn id="1" name="优先级"/>
    <x:tableColumn id="2" name="位置规则"/>
    <x:tableColumn id="3" name="统一定义"/>
    <x:tableColumn id="4" name="实现要求"/>
  </x:tableColumns>
  <x:tableStyleInfo name="TableStyleMedium2" showRowStripes="1"/>
</x:table>
</file>

<file path=xl/tables/table5.xml><?xml version="1.0" encoding="utf-8"?>
<x:table xmlns:x="http://schemas.openxmlformats.org/spreadsheetml/2006/main" id="9" name="WasteProcessingRulesTable" displayName="WasteProcessingRulesTable" ref="K1:N9" headerRowCount="1">
  <x:tableColumns count="4">
    <x:tableColumn id="1" name="优先级"/>
    <x:tableColumn id="2" name="废料规则"/>
    <x:tableColumn id="3" name="统一定义"/>
    <x:tableColumn id="4" name="实现要求"/>
  </x:tableColumns>
  <x:tableStyleInfo name="TableStyleMedium2" showRowStripes="1"/>
</x:table>
</file>

<file path=xl/tables/table6.xml><?xml version="1.0" encoding="utf-8"?>
<x:table xmlns:x="http://schemas.openxmlformats.org/spreadsheetml/2006/main" id="16" name="PileRulesTable" displayName="PileRulesTable" ref="P1:S9" headerRowCount="1">
  <x:tableColumns count="4">
    <x:tableColumn id="1" name="优先级"/>
    <x:tableColumn id="2" name="牌堆规则"/>
    <x:tableColumn id="3" name="统一定义"/>
    <x:tableColumn id="4" name="实现要求"/>
  </x:tableColumns>
  <x:tableStyleInfo name="TableStyleMedium2" showRowStripes="1"/>
</x:table>
</file>

<file path=xl/tables/table7.xml><?xml version="1.0" encoding="utf-8"?>
<x:table xmlns:x="http://schemas.openxmlformats.org/spreadsheetml/2006/main" id="4" name="InitialDeckTable" displayName="InitialDeckTable" ref="A1:F7" headerRowCount="1">
  <x:tableColumns count="6">
    <x:tableColumn id="1" name="卡牌名称"/>
    <x:tableColumn id="2" name="数量"/>
    <x:tableColumn id="3" name="费用"/>
    <x:tableColumn id="4" name="定位"/>
    <x:tableColumn id="5" name="初始用途"/>
    <x:tableColumn id="6" name="升级方向"/>
  </x:tableColumns>
  <x:tableStyleInfo name="TableStyleMedium2" showRowStripes="1"/>
</x:table>
</file>

<file path=xl/tables/table8.xml><?xml version="1.0" encoding="utf-8"?>
<x:table xmlns:x="http://schemas.openxmlformats.org/spreadsheetml/2006/main" id="6" name="PositionBenefitTable" displayName="PositionBenefitTable" ref="A3:H40" headerRowCount="1">
  <x:tableColumns count="8">
    <x:tableColumn id="1" name="卡牌名称"/>
    <x:tableColumn id="2" name="稀有度"/>
    <x:tableColumn id="3" name="位置类别"/>
    <x:tableColumn id="4" name="打出时的位置收益"/>
    <x:tableColumn id="5" name="装配/产物位置收益"/>
    <x:tableColumn id="6" name="主要决策"/>
    <x:tableColumn id="7" name="风险等级"/>
    <x:tableColumn id="8" name="实现备注"/>
  </x:tableColumns>
  <x:tableStyleInfo name="TableStyleMedium2" showRowStripes="1"/>
</x:table>
</file>

<file path=xl/tables/table9.xml><?xml version="1.0" encoding="utf-8"?>
<x:table xmlns:x="http://schemas.openxmlformats.org/spreadsheetml/2006/main" id="7" name="PositionMetricsTable" displayName="PositionMetricsTable" ref="J1:K7" headerRowCount="1">
  <x:tableColumns count="2">
    <x:tableColumn id="1" name="指标"/>
    <x:tableColumn id="2" name="数值"/>
  </x:tableColumns>
  <x:tableStyleInfo name="TableStyleMedium2" showRowStripes="1"/>
</x:table>
</file>

<file path=xl/tables/table10.xml><?xml version="1.0" encoding="utf-8"?>
<x:table xmlns:x="http://schemas.openxmlformats.org/spreadsheetml/2006/main" id="8" name="PositionPrinciplesTable" displayName="PositionPrinciplesTable" ref="J9:K14" headerRowCount="1">
  <x:tableColumns count="2">
    <x:tableColumn id="1" name="设计原则"/>
    <x:tableColumn id="2" name="说明"/>
  </x:tableColumns>
  <x:tableStyleInfo name="TableStyleMedium2" showRowStripes="1"/>
</x:table>
</file>

<file path=xl/tables/table11.xml><?xml version="1.0" encoding="utf-8"?>
<x:table xmlns:x="http://schemas.openxmlformats.org/spreadsheetml/2006/main" id="10" name="WasteCoreLoopTable" displayName="WasteCoreLoopTable" ref="A3:H5" headerRowCount="1">
  <x:tableColumns count="8">
    <x:tableColumn id="1" name="废料类型"/>
    <x:tableColumn id="2" name="默认来源"/>
    <x:tableColumn id="3" name="处理结果"/>
    <x:tableColumn id="4" name="次级产物"/>
    <x:tableColumn id="5" name="次级效果"/>
    <x:tableColumn id="6" name="位置语言"/>
    <x:tableColumn id="7" name="非处理去向"/>
    <x:tableColumn id="8" name="平衡约束"/>
  </x:tableColumns>
  <x:tableStyleInfo name="TableStyleMedium2" showRowStripes="1"/>
</x:table>
</file>

<file path=xl/tables/table12.xml><?xml version="1.0" encoding="utf-8"?>
<x:table xmlns:x="http://schemas.openxmlformats.org/spreadsheetml/2006/main" id="11" name="WasteCardPoolTable" displayName="WasteCardPoolTable" ref="A8:H20" headerRowCount="1">
  <x:tableColumns count="8">
    <x:tableColumn id="1" name="卡牌名称"/>
    <x:tableColumn id="2" name="稀有度"/>
    <x:tableColumn id="3" name="费用"/>
    <x:tableColumn id="4" name="类型"/>
    <x:tableColumn id="5" name="核心效果"/>
    <x:tableColumn id="6" name="位置要求"/>
    <x:tableColumn id="7" name="升级"/>
    <x:tableColumn id="8" name="风险"/>
  </x:tableColumns>
  <x:tableStyleInfo name="TableStyleMedium2" showRowStripes="1"/>
</x:table>
</file>

<file path=xl/tables/table13.xml><?xml version="1.0" encoding="utf-8"?>
<x:table xmlns:x="http://schemas.openxmlformats.org/spreadsheetml/2006/main" id="12" name="WasteKeywordTable" displayName="WasteKeywordTable" ref="J1:M6" headerRowCount="1">
  <x:tableColumns count="4">
    <x:tableColumn id="1" name="关键词"/>
    <x:tableColumn id="2" name="定义"/>
    <x:tableColumn id="3" name="触发次级产物"/>
    <x:tableColumn id="4" name="示例"/>
  </x:tableColumns>
  <x:tableStyleInfo name="TableStyleMedium2" showRowStripes="1"/>
</x:table>
</file>

<file path=xl/tables/table14.xml><?xml version="1.0" encoding="utf-8"?>
<x:table xmlns:x="http://schemas.openxmlformats.org/spreadsheetml/2006/main" id="13" name="WasteFlowMapTable" displayName="WasteFlowMapTable" ref="J8:M15" headerRowCount="1">
  <x:tableColumns count="4">
    <x:tableColumn id="1" name="环节"/>
    <x:tableColumn id="2" name="机械路线"/>
    <x:tableColumn id="3" name="生物路线"/>
    <x:tableColumn id="4" name="设计目的"/>
  </x:tableColumns>
  <x:tableStyleInfo name="TableStyleMedium2" showRowStripes="1"/>
</x:table>
</file>

<file path=xl/tables/table15.xml><?xml version="1.0" encoding="utf-8"?>
<x:table xmlns:x="http://schemas.openxmlformats.org/spreadsheetml/2006/main" id="14" name="WasteMetricsTable" displayName="WasteMetricsTable" ref="J17:K24" headerRowCount="1">
  <x:tableColumns count="2">
    <x:tableColumn id="1" name="卡池指标"/>
    <x:tableColumn id="2" name="数值"/>
  </x:tableColumns>
  <x:tableStyleInfo name="TableStyleMedium2" showRowStripes="1"/>
</x:table>
</file>

<file path=xl/tables/table16.xml><?xml version="1.0" encoding="utf-8"?>
<x:table xmlns:x="http://schemas.openxmlformats.org/spreadsheetml/2006/main" id="15" name="WasteRiskTable" displayName="WasteRiskTable" ref="J26:M31" headerRowCount="1">
  <x:tableColumns count="4">
    <x:tableColumn id="1" name="风险"/>
    <x:tableColumn id="2" name="主要组合"/>
    <x:tableColumn id="3" name="控制方式"/>
    <x:tableColumn id="4" name="验证重点"/>
  </x:tableColumns>
  <x:tableStyleInfo name="TableStyleMedium2" showRowStripes="1"/>
</x:table>
</file>

<file path=xl/tables/table17.xml><?xml version="1.0" encoding="utf-8"?>
<x:table xmlns:x="http://schemas.openxmlformats.org/spreadsheetml/2006/main" id="17" name="PileRoleTable" displayName="PileRoleTable" ref="A3:H6" headerRowCount="1">
  <x:tableColumns count="8">
    <x:tableColumn id="1" name="区域"/>
    <x:tableColumn id="2" name="核心定位"/>
    <x:tableColumn id="3" name="主要操作"/>
    <x:tableColumn id="4" name="顺序价值"/>
    <x:tableColumn id="5" name="与装配的联系"/>
    <x:tableColumn id="6" name="典型成本"/>
    <x:tableColumn id="7" name="主要风险"/>
    <x:tableColumn id="8" name="代表卡牌"/>
  </x:tableColumns>
  <x:tableStyleInfo name="TableStyleMedium2" showRowStripes="1"/>
</x:table>
</file>

<file path=xl/tables/table18.xml><?xml version="1.0" encoding="utf-8"?>
<x:table xmlns:x="http://schemas.openxmlformats.org/spreadsheetml/2006/main" id="18" name="PileCardPoolTable" displayName="PileCardPoolTable" ref="A8:H20" headerRowCount="1">
  <x:tableColumns count="8">
    <x:tableColumn id="1" name="卡牌名称"/>
    <x:tableColumn id="2" name="稀有度"/>
    <x:tableColumn id="3" name="费用"/>
    <x:tableColumn id="4" name="所属区域"/>
    <x:tableColumn id="5" name="核心效果"/>
    <x:tableColumn id="6" name="位置/顺序要求"/>
    <x:tableColumn id="7" name="升级方向"/>
    <x:tableColumn id="8" name="风险等级"/>
  </x:tableColumns>
  <x:tableStyleInfo name="TableStyleMedium2" showRowStripes="1"/>
</x:table>
</file>

<file path=xl/tables/table19.xml><?xml version="1.0" encoding="utf-8"?>
<x:table xmlns:x="http://schemas.openxmlformats.org/spreadsheetml/2006/main" id="19" name="PileComboTable" displayName="PileComboTable" ref="J1:M8" headerRowCount="1">
  <x:tableColumns count="4">
    <x:tableColumn id="1" name="组合"/>
    <x:tableColumn id="2" name="步骤"/>
    <x:tableColumn id="3" name="结果"/>
    <x:tableColumn id="4" name="验证重点"/>
  </x:tableColumns>
  <x:tableStyleInfo name="TableStyleMedium2" showRowStripes="1"/>
</x:table>
</file>

<file path=xl/tables/table20.xml><?xml version="1.0" encoding="utf-8"?>
<x:table xmlns:x="http://schemas.openxmlformats.org/spreadsheetml/2006/main" id="20" name="PileMetricsTable" displayName="PileMetricsTable" ref="J10:K18" headerRowCount="1">
  <x:tableColumns count="2">
    <x:tableColumn id="1" name="卡池指标"/>
    <x:tableColumn id="2" name="数值"/>
  </x:tableColumns>
  <x:tableStyleInfo name="TableStyleMedium2" showRowStripes="1"/>
</x:table>
</file>

<file path=xl/tables/table21.xml><?xml version="1.0" encoding="utf-8"?>
<x:table xmlns:x="http://schemas.openxmlformats.org/spreadsheetml/2006/main" id="21" name="PileRiskTable" displayName="PileRiskTable" ref="J20:M26" headerRowCount="1">
  <x:tableColumns count="4">
    <x:tableColumn id="1" name="风险"/>
    <x:tableColumn id="2" name="相关卡牌"/>
    <x:tableColumn id="3" name="控制方式"/>
    <x:tableColumn id="4" name="测试指标"/>
  </x:tableColumns>
  <x:tableStyleInfo name="TableStyleMedium2" showRowStripes="1"/>
</x:table>
</file>

<file path=xl/tables/table22.xml><?xml version="1.0" encoding="utf-8"?>
<x:table xmlns:x="http://schemas.openxmlformats.org/spreadsheetml/2006/main" id="23" name="RoleSummaryTable" displayName="RoleSummaryTable" ref="A3:H4" headerRowCount="1">
  <x:tableColumns count="8">
    <x:tableColumn id="1" name="角色核心"/>
    <x:tableColumn id="2" name="基础循环"/>
    <x:tableColumn id="3" name="第一资源轴"/>
    <x:tableColumn id="4" name="第二资源轴"/>
    <x:tableColumn id="5" name="第三资源轴"/>
    <x:tableColumn id="6" name="主要代价"/>
    <x:tableColumn id="7" name="设计关键词"/>
    <x:tableColumn id="8" name="当前阶段"/>
  </x:tableColumns>
  <x:tableStyleInfo name="TableStyleMedium2" showRowStripes="1"/>
</x:table>
</file>

<file path=xl/tables/table23.xml><?xml version="1.0" encoding="utf-8"?>
<x:table xmlns:x="http://schemas.openxmlformats.org/spreadsheetml/2006/main" id="24" name="ReviewKpiTable" displayName="ReviewKpiTable" ref="A6:B13" headerRowCount="1">
  <x:tableColumns count="2">
    <x:tableColumn id="1" name="结构指标"/>
    <x:tableColumn id="2" name="数量"/>
  </x:tableColumns>
  <x:tableStyleInfo name="TableStyleMedium2" showRowStripes="1"/>
</x:table>
</file>

<file path=xl/tables/table24.xml><?xml version="1.0" encoding="utf-8"?>
<x:table xmlns:x="http://schemas.openxmlformats.org/spreadsheetml/2006/main" id="25" name="SystemCountTable" displayName="SystemCountTable" ref="D6:E18" headerRowCount="1">
  <x:tableColumns count="2">
    <x:tableColumn id="1" name="主体系"/>
    <x:tableColumn id="2" name="条目数"/>
  </x:tableColumns>
  <x:tableStyleInfo name="TableStyleMedium2" showRowStripes="1"/>
</x:table>
</file>

<file path=xl/tables/table25.xml><?xml version="1.0" encoding="utf-8"?>
<x:table xmlns:x="http://schemas.openxmlformats.org/spreadsheetml/2006/main" id="26" name="ReviewStepsTable" displayName="ReviewStepsTable" ref="G6:J13" headerRowCount="1">
  <x:tableColumns count="4">
    <x:tableColumn id="1" name="审核阶段"/>
    <x:tableColumn id="2" name="先看什么"/>
    <x:tableColumn id="3" name="审核目标"/>
    <x:tableColumn id="4" name="通过条件"/>
  </x:tableColumns>
  <x:tableStyleInfo name="TableStyleMedium2" showRowStripes="1"/>
</x:table>
</file>

<file path=xl/tables/table26.xml><?xml version="1.0" encoding="utf-8"?>
<x:table xmlns:x="http://schemas.openxmlformats.org/spreadsheetml/2006/main" id="27" name="OverlapReviewTable" displayName="OverlapReviewTable" ref="G16:J22" headerRowCount="1">
  <x:tableColumns count="4">
    <x:tableColumn id="1" name="优先重叠组"/>
    <x:tableColumn id="2" name="涉及卡牌"/>
    <x:tableColumn id="3" name="主要问题"/>
    <x:tableColumn id="4" name="建议审核方向"/>
  </x:tableColumns>
  <x:tableStyleInfo name="TableStyleMedium2" showRowStripes="1"/>
</x:table>
</file>

<file path=xl/tables/table27.xml><?xml version="1.0" encoding="utf-8"?>
<x:table xmlns:x="http://schemas.openxmlformats.org/spreadsheetml/2006/main" id="30" name="ReviewDecisionProgressTable" displayName="ReviewDecisionProgressTable" ref="L6:M11" headerRowCount="1">
  <x:tableColumns count="2">
    <x:tableColumn id="1" name="审核决定"/>
    <x:tableColumn id="2" name="数量"/>
  </x:tableColumns>
  <x:tableStyleInfo name="TableStyleMedium2" showRowStripes="1"/>
</x:table>
</file>

<file path=xl/tables/table28.xml><?xml version="1.0" encoding="utf-8"?>
<x:table xmlns:x="http://schemas.openxmlformats.org/spreadsheetml/2006/main" id="31" name="ImplementationPriorityTable" displayName="ImplementationPriorityTable" ref="L13:M17" headerRowCount="1">
  <x:tableColumns count="2">
    <x:tableColumn id="1" name="实现优先级"/>
    <x:tableColumn id="2" name="数量"/>
  </x:tableColumns>
  <x:tableStyleInfo name="TableStyleMedium2" showRowStripes="1"/>
</x:table>
</file>

<file path=xl/tables/table29.xml><?xml version="1.0" encoding="utf-8"?>
<x:table xmlns:x="http://schemas.openxmlformats.org/spreadsheetml/2006/main" id="28" name="BuildRoutesTable" displayName="BuildRoutesTable" ref="A3:J14" headerRowCount="1">
  <x:tableColumns count="10">
    <x:tableColumn id="1" name="构筑路线"/>
    <x:tableColumn id="2" name="核心体验"/>
    <x:tableColumn id="3" name="生成器/入口"/>
    <x:tableColumn id="4" name="运转牌"/>
    <x:tableColumn id="5" name="收益/终结牌"/>
    <x:tableColumn id="6" name="关键位置规则"/>
    <x:tableColumn id="7" name="依赖关系"/>
    <x:tableColumn id="8" name="当前成熟度"/>
    <x:tableColumn id="9" name="主要风险"/>
    <x:tableColumn id="10" name="审核问题"/>
  </x:tableColumns>
  <x:tableStyleInfo name="TableStyleMedium2" showRowStripes="1"/>
</x:table>
</file>

<file path=xl/tables/table30.xml><?xml version="1.0" encoding="utf-8"?>
<x:table xmlns:x="http://schemas.openxmlformats.org/spreadsheetml/2006/main" id="22" name="CardReviewChecklistTable" displayName="CardReviewChecklistTable" ref="A1:P70" headerRowCount="1">
  <x:tableColumns count="16">
    <x:tableColumn id="1" name="原表行"/>
    <x:tableColumn id="2" name="卡牌名称"/>
    <x:tableColumn id="3" name="稀有度"/>
    <x:tableColumn id="4" name="费用"/>
    <x:tableColumn id="5" name="类型"/>
    <x:tableColumn id="6" name="主体系"/>
    <x:tableColumn id="7" name="关联体系"/>
    <x:tableColumn id="8" name="职责"/>
    <x:tableColumn id="9" name="当前逻辑摘要"/>
    <x:tableColumn id="10" name="升级"/>
    <x:tableColumn id="11" name="现有审核等级"/>
    <x:tableColumn id="12" name="现有审核意见"/>
    <x:tableColumn id="13" name="审核决定"/>
    <x:tableColumn id="14" name="实现优先级"/>
    <x:tableColumn id="15" name="修改方向/删除理由"/>
    <x:tableColumn id="16" name="审核备注"/>
  </x:tableColumns>
  <x:tableStyleInfo name="TableStyleMedium2" showRowStripes="1"/>
</x:table>
</file>

<file path=xl/tables/table31.xml><?xml version="1.0" encoding="utf-8"?>
<x:table xmlns:x="http://schemas.openxmlformats.org/spreadsheetml/2006/main" id="29" name="SystemDependencyTable" displayName="SystemDependencyTable" ref="A3:H12" headerRowCount="1">
  <x:tableColumns count="8">
    <x:tableColumn id="1" name="系统"/>
    <x:tableColumn id="2" name="入口/生成器"/>
    <x:tableColumn id="3" name="运转/转换"/>
    <x:tableColumn id="4" name="收益/终结"/>
    <x:tableColumn id="5" name="依赖其他系统"/>
    <x:tableColumn id="6" name="当前缺口"/>
    <x:tableColumn id="7" name="建议规模"/>
    <x:tableColumn id="8" name="审核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2e4b86914a49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f9d317f8de48cc" /><Relationship Type="http://schemas.openxmlformats.org/officeDocument/2006/relationships/table" Target="/xl/tables/table3.xml" Id="R0c118982ae4d4032" /><Relationship Type="http://schemas.openxmlformats.org/officeDocument/2006/relationships/table" Target="/xl/tables/table4.xml" Id="Rf354f138997d448f" /><Relationship Type="http://schemas.openxmlformats.org/officeDocument/2006/relationships/table" Target="/xl/tables/table5.xml" Id="R89abd065b5b14772" /><Relationship Type="http://schemas.openxmlformats.org/officeDocument/2006/relationships/table" Target="/xl/tables/table6.xml" Id="R709fb151482b48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cb98e29680cb43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3e567f6c805640a6" /><Relationship Type="http://schemas.openxmlformats.org/officeDocument/2006/relationships/table" Target="/xl/tables/table9.xml" Id="R3d4e6654612f417d" /><Relationship Type="http://schemas.openxmlformats.org/officeDocument/2006/relationships/table" Target="/xl/tables/table10.xml" Id="R5f01867311344e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1.xml" Id="R0877089f6931425b" /><Relationship Type="http://schemas.openxmlformats.org/officeDocument/2006/relationships/table" Target="/xl/tables/table12.xml" Id="Rf271662169d342d8" /><Relationship Type="http://schemas.openxmlformats.org/officeDocument/2006/relationships/table" Target="/xl/tables/table13.xml" Id="Raa64d53cb4994e48" /><Relationship Type="http://schemas.openxmlformats.org/officeDocument/2006/relationships/table" Target="/xl/tables/table14.xml" Id="R38c89dde943c427b" /><Relationship Type="http://schemas.openxmlformats.org/officeDocument/2006/relationships/table" Target="/xl/tables/table15.xml" Id="Rb6b9c35950ff4576" /><Relationship Type="http://schemas.openxmlformats.org/officeDocument/2006/relationships/table" Target="/xl/tables/table16.xml" Id="R51d26bc3624f4d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7.xml" Id="R7a0d9ea7b082420c" /><Relationship Type="http://schemas.openxmlformats.org/officeDocument/2006/relationships/table" Target="/xl/tables/table18.xml" Id="R182d9ec80a4e479c" /><Relationship Type="http://schemas.openxmlformats.org/officeDocument/2006/relationships/table" Target="/xl/tables/table19.xml" Id="Rc46df9df167a432b" /><Relationship Type="http://schemas.openxmlformats.org/officeDocument/2006/relationships/table" Target="/xl/tables/table20.xml" Id="Rd75e872f25b24745" /><Relationship Type="http://schemas.openxmlformats.org/officeDocument/2006/relationships/table" Target="/xl/tables/table21.xml" Id="Radc2278536ff49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2db9e2992714c14" /><Relationship Type="http://schemas.openxmlformats.org/officeDocument/2006/relationships/table" Target="/xl/tables/table22.xml" Id="Re27fd73397194117" /><Relationship Type="http://schemas.openxmlformats.org/officeDocument/2006/relationships/table" Target="/xl/tables/table23.xml" Id="R114bd93996ee48b2" /><Relationship Type="http://schemas.openxmlformats.org/officeDocument/2006/relationships/table" Target="/xl/tables/table24.xml" Id="R7ce6a1e5d21a4c53" /><Relationship Type="http://schemas.openxmlformats.org/officeDocument/2006/relationships/table" Target="/xl/tables/table25.xml" Id="R0f62ace08a5340ac" /><Relationship Type="http://schemas.openxmlformats.org/officeDocument/2006/relationships/table" Target="/xl/tables/table26.xml" Id="R1409fce4cd594e2c" /><Relationship Type="http://schemas.openxmlformats.org/officeDocument/2006/relationships/table" Target="/xl/tables/table27.xml" Id="Ra00efca998914c1e" /><Relationship Type="http://schemas.openxmlformats.org/officeDocument/2006/relationships/table" Target="/xl/tables/table28.xml" Id="R93eedf49c2fb4a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9.xml" Id="R053aa2688c9846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0.xml" Id="Rbc557e4657ce4c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1.xml" Id="R0c999733184744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8" hidden="0" customWidth="1"/>
    <x:col min="5" max="5" width="10" hidden="0" customWidth="1"/>
    <x:col min="6" max="6" width="10" hidden="0" customWidth="1"/>
    <x:col min="7" max="7" width="24" hidden="0" customWidth="1"/>
    <x:col min="8" max="8" width="48" hidden="0" customWidth="1"/>
    <x:col min="9" max="9" width="34" hidden="0" customWidth="1"/>
    <x:col min="10" max="10" width="30" hidden="0" customWidth="1"/>
    <x:col min="11" max="11" width="12" hidden="0" customWidth="1"/>
    <x:col min="12" max="12" width="12" hidden="0" customWidth="1"/>
    <x:col min="13" max="13" width="55" hidden="0" customWidth="1"/>
    <x:col min="14" max="14" width="58" hidden="0" customWidth="1"/>
  </x:cols>
  <x:sheetData>
    <x:row r="1">
      <x:c r="A1" s="6" t="str">
        <x:v>分类</x:v>
      </x:c>
      <x:c r="B1" s="6" t="str">
        <x:v>卡牌名称</x:v>
      </x:c>
      <x:c r="C1" s="6" t="str">
        <x:v>代码类名</x:v>
      </x:c>
      <x:c r="D1" s="6" t="str">
        <x:v>费用</x:v>
      </x:c>
      <x:c r="E1" s="6" t="str">
        <x:v>类型</x:v>
      </x:c>
      <x:c r="F1" s="6" t="str">
        <x:v>稀有度</x:v>
      </x:c>
      <x:c r="G1" s="6" t="str">
        <x:v>关键词或属性</x:v>
      </x:c>
      <x:c r="H1" s="6" t="str">
        <x:v>代码实际逻辑</x:v>
      </x:c>
      <x:c r="I1" s="6" t="str">
        <x:v>升级效果</x:v>
      </x:c>
      <x:c r="J1" s="6" t="str">
        <x:v>风险或备注</x:v>
      </x:c>
      <x:c r="K1" s="6" t="str">
        <x:v>审核状态</x:v>
      </x:c>
      <x:c r="L1" s="6" t="str">
        <x:v>审核等级</x:v>
      </x:c>
      <x:c r="M1" s="6" t="str">
        <x:v>审核意见</x:v>
      </x:c>
      <x:c r="N1" s="6" t="str">
        <x:v>建议修订</x:v>
      </x:c>
    </x:row>
    <x:row r="2">
      <x:c r="A2" s="14" t="str">
        <x:v>总装师-初始零件</x:v>
      </x:c>
      <x:c r="B2" s="14" t="str">
        <x:v>铸件打击</x:v>
      </x:c>
      <x:c r="C2" s="14" t="str">
        <x:v>CastStrike</x:v>
      </x:c>
      <x:c r="D2" s="14" t="str">
        <x:v>1</x:v>
      </x:c>
      <x:c r="E2" s="14" t="str">
        <x:v>攻击</x:v>
      </x:c>
      <x:c r="F2" s="14" t="str">
        <x:v>基础</x:v>
      </x:c>
      <x:c r="G2" s="14" t="str">
        <x:v>零件；伤害模块5</x:v>
      </x:c>
      <x:c r="H2" s="14" t="str">
        <x:v>打出造成6点伤害；装配时提供5点伤害模块</x:v>
      </x:c>
      <x:c r="I2" s="14" t="str">
        <x:v>打出6→9；模块5→7</x:v>
      </x:c>
      <x:c r="J2" s="14" t="str">
        <x:v>初始牌4张</x:v>
      </x:c>
      <x:c r="K2" s="14" t="str"/>
      <x:c r="L2" s="14" t="str">
        <x:v>通过</x:v>
      </x:c>
      <x:c r="M2" s="14" t="str">
        <x:v>调整为4张后，初始牌组拥有更稳定的基础输出，同时仍可作为伤害模块参与装配。</x:v>
      </x:c>
      <x:c r="N2" s="14" t="str">
        <x:v>初始数量确定为4张；后续仅需结合敌人血量测试基础伤害数值。</x:v>
      </x:c>
    </x:row>
    <x:row r="3">
      <x:c r="A3" s="14" t="str">
        <x:v>总装师-初始零件</x:v>
      </x:c>
      <x:c r="B3" s="14" t="str">
        <x:v>防护板</x:v>
      </x:c>
      <x:c r="C3" s="14" t="str">
        <x:v>GuardPlate</x:v>
      </x:c>
      <x:c r="D3" s="14" t="str">
        <x:v>1</x:v>
      </x:c>
      <x:c r="E3" s="14" t="str">
        <x:v>技能</x:v>
      </x:c>
      <x:c r="F3" s="14" t="str">
        <x:v>基础</x:v>
      </x:c>
      <x:c r="G3" s="14" t="str">
        <x:v>零件；格挡模块5</x:v>
      </x:c>
      <x:c r="H3" s="14" t="str">
        <x:v>打出获得5点格挡；装配时提供5点格挡模块</x:v>
      </x:c>
      <x:c r="I3" s="14" t="str">
        <x:v>打出5→8；模块5→7</x:v>
      </x:c>
      <x:c r="J3" s="14" t="str">
        <x:v>初始牌2张</x:v>
      </x:c>
      <x:c r="K3" s="14" t="str"/>
      <x:c r="L3" s="14" t="str">
        <x:v>通过</x:v>
      </x:c>
      <x:c r="M3" s="14" t="str">
        <x:v>调整为2张后，降低了初始牌组的防御冗余；侧翼护板与应急维护仍能补充基础防御。</x:v>
      </x:c>
      <x:c r="N3" s="14" t="str">
        <x:v>初始数量确定为2张；观察高压战斗中是否因装配占用防御零件而导致防御不足。</x:v>
      </x:c>
    </x:row>
    <x:row r="4">
      <x:c r="A4" s="14" t="str">
        <x:v>总装师-初始零件</x:v>
      </x:c>
      <x:c r="B4" s="14" t="str">
        <x:v>送料器</x:v>
      </x:c>
      <x:c r="C4" s="14" t="str">
        <x:v>Feeder</x:v>
      </x:c>
      <x:c r="D4" s="14" t="str">
        <x:v>0</x:v>
      </x:c>
      <x:c r="E4" s="14" t="str">
        <x:v>技能</x:v>
      </x:c>
      <x:c r="F4" s="14" t="str">
        <x:v>基础</x:v>
      </x:c>
      <x:c r="G4" s="14" t="str">
        <x:v>零件；抽牌模块；任意废料邻接</x:v>
      </x:c>
      <x:c r="H4" s="14" t="str">
        <x:v>打出抽1张；若与任意废料相邻，再抽1张。模块：抽1张。</x:v>
      </x:c>
      <x:c r="I4" s="14" t="str">
        <x:v>升级后左右两侧的废料分别额外抽1张；模块不变</x:v>
      </x:c>
      <x:c r="J4" s="14" t="str">
        <x:v>机械废料与生物废料都满足邻接条件。</x:v>
      </x:c>
      <x:c r="K4" s="14" t="str">
        <x:v>废料双体系适配</x:v>
      </x:c>
      <x:c r="L4" s="14" t="str">
        <x:v>重点实测</x:v>
      </x:c>
      <x:c r="M4" s="14" t="str">
        <x:v>送料器继续作为两类废料共用的基础运转牌，不负责处理废料。</x:v>
      </x:c>
      <x:c r="N4" s="14" t="str">
        <x:v>判定打出前左右邻居；升级后最多额外抽2张。</x:v>
      </x:c>
    </x:row>
    <x:row r="5">
      <x:c r="A5" s="14" t="str">
        <x:v>总装师-初始零件</x:v>
      </x:c>
      <x:c r="B5" s="14" t="str">
        <x:v>侧翼护板</x:v>
      </x:c>
      <x:c r="C5" s="14" t="str">
        <x:v>FlankPlate</x:v>
      </x:c>
      <x:c r="D5" s="14" t="str">
        <x:v>1</x:v>
      </x:c>
      <x:c r="E5" s="14" t="str">
        <x:v>技能</x:v>
      </x:c>
      <x:c r="F5" s="14" t="str">
        <x:v>基础</x:v>
      </x:c>
      <x:c r="G5" s="14" t="str">
        <x:v>零件；左右端；分支模块</x:v>
      </x:c>
      <x:c r="H5" s="14" t="str">
        <x:v>打出获得5格挡；若位于手牌最左侧，额外获得4格挡；若位于最右侧，抽1张牌。模块：获得5格挡；若为产物首模块，额外获得4格挡；若为末模块，抽1张牌。</x:v>
      </x:c>
      <x:c r="I5" s="14" t="str">
        <x:v>基础格挡5→7；左端额外4→5；右端抽牌不变；模块格挡5→7、首端额外4→5</x:v>
      </x:c>
      <x:c r="J5" s="14" t="str">
        <x:v>两模块产物必然触发一种端点奖励，但玩家必须在格挡与抽牌之间选择。</x:v>
      </x:c>
      <x:c r="K5" s="14" t="str">
        <x:v>位置改版</x:v>
      </x:c>
      <x:c r="L5" s="14" t="str">
        <x:v>重点实测</x:v>
      </x:c>
      <x:c r="M5" s="14" t="str">
        <x:v>左右端提供不同收益，机械臂移动不再只是增加固定数值，而是决定防御或运转。</x:v>
      </x:c>
      <x:c r="N5" s="14" t="str">
        <x:v>重点测试右端抽牌模块与高耐久产物的持续过牌强度。</x:v>
      </x:c>
    </x:row>
    <x:row r="6">
      <x:c r="A6" s="14" t="str">
        <x:v>总装师-初始功能牌</x:v>
      </x:c>
      <x:c r="B6" s="14" t="str">
        <x:v>机械臂</x:v>
      </x:c>
      <x:c r="C6" s="14" t="str">
        <x:v>PositioningArm</x:v>
      </x:c>
      <x:c r="D6" s="14" t="str">
        <x:v>0</x:v>
      </x:c>
      <x:c r="E6" s="14" t="str">
        <x:v>技能</x:v>
      </x:c>
      <x:c r="F6" s="14" t="str">
        <x:v>基础</x:v>
      </x:c>
      <x:c r="G6" s="14" t="str">
        <x:v>手牌排序</x:v>
      </x:c>
      <x:c r="H6" s="14" t="str">
        <x:v>将另一张手牌左右移动最多2个位置</x:v>
      </x:c>
      <x:c r="I6" s="14" t="str">
        <x:v>升级后可移动至任意位置</x:v>
      </x:c>
      <x:c r="J6" s="14" t="str">
        <x:v>初始牌1张</x:v>
      </x:c>
      <x:c r="K6" s="14" t="str"/>
      <x:c r="L6" s="14" t="str">
        <x:v>通过</x:v>
      </x:c>
      <x:c r="M6" s="14" t="str">
        <x:v>位置调整规则明确，并能服务送料器、侧翼护板和装配邻接。</x:v>
      </x:c>
      <x:c r="N6" s="14" t="str">
        <x:v>明确移动采用插入式移动，其他牌保持相对顺序。</x:v>
      </x:c>
    </x:row>
    <x:row r="7">
      <x:c r="A7" s="14" t="str">
        <x:v>总装师-初始功能牌</x:v>
      </x:c>
      <x:c r="B7" s="14" t="str">
        <x:v>应急维护</x:v>
      </x:c>
      <x:c r="C7" s="14" t="str">
        <x:v>EmergencyMaintenance</x:v>
      </x:c>
      <x:c r="D7" s="14" t="str">
        <x:v>1</x:v>
      </x:c>
      <x:c r="E7" s="14" t="str">
        <x:v>技能</x:v>
      </x:c>
      <x:c r="F7" s="14" t="str">
        <x:v>基础</x:v>
      </x:c>
      <x:c r="G7" s="14" t="str">
        <x:v>格挡；维修</x:v>
      </x:c>
      <x:c r="H7" s="14" t="str">
        <x:v>获得6格挡并维修手牌产物1点；无产物仍可打出</x:v>
      </x:c>
      <x:c r="I7" s="14" t="str">
        <x:v>格挡6→8；维修1→2</x:v>
      </x:c>
      <x:c r="J7" s="14" t="str">
        <x:v>初始牌1张</x:v>
      </x:c>
      <x:c r="K7" s="14" t="str"/>
      <x:c r="L7" s="14" t="str">
        <x:v>需澄清</x:v>
      </x:c>
      <x:c r="M7" s="14" t="str">
        <x:v>无产物时可打出，但有产物且全部满耐久时是否必须选择目标尚不明确。</x:v>
      </x:c>
      <x:c r="N7" s="14" t="str">
        <x:v>将维修目标设为可选；没有合法目标时只获得格挡。</x:v>
      </x:c>
    </x:row>
    <x:row r="8">
      <x:c r="A8" s="14" t="str">
        <x:v>总装师-核心牌</x:v>
      </x:c>
      <x:c r="B8" s="14" t="str">
        <x:v>基础装配</x:v>
      </x:c>
      <x:c r="C8" s="14" t="str">
        <x:v>BasicAssembly</x:v>
      </x:c>
      <x:c r="D8" s="14" t="str">
        <x:v>0</x:v>
      </x:c>
      <x:c r="E8" s="14" t="str">
        <x:v>技能</x:v>
      </x:c>
      <x:c r="F8" s="14" t="str">
        <x:v>状态</x:v>
      </x:c>
      <x:c r="G8" s="14" t="str">
        <x:v>装配；保留；消耗；机械废料</x:v>
      </x:c>
      <x:c r="H8" s="14" t="str">
        <x:v>装配2张直接相邻零件；生成1费2耐久产物；将1张机械废料加入弃牌堆。</x:v>
      </x:c>
      <x:c r="I8" s="14" t="str">
        <x:v>不可升级</x:v>
      </x:c>
      <x:c r="J8" s="14" t="str">
        <x:v>标准机械装配只产生机械废料；生物废料由生物类零件和专属卡牌产生。</x:v>
      </x:c>
      <x:c r="K8" s="14" t="str">
        <x:v>废料双体系适配</x:v>
      </x:c>
      <x:c r="L8" s="14" t="str">
        <x:v>需澄清</x:v>
      </x:c>
      <x:c r="M8" s="14" t="str">
        <x:v>将基础装配设为机械废料的稳定来源，保证机械回收路线从初始卡组即可运转。</x:v>
      </x:c>
      <x:c r="N8" s="14" t="str">
        <x:v>产物保存原零件实例；机械废料进入弃牌堆。</x:v>
      </x:c>
    </x:row>
    <x:row r="9">
      <x:c r="A9" s="14" t="str">
        <x:v>总装师-生成产物</x:v>
      </x:c>
      <x:c r="B9" s="14" t="str">
        <x:v>装配产物</x:v>
      </x:c>
      <x:c r="C9" s="14" t="str">
        <x:v>AssembledProduct</x:v>
      </x:c>
      <x:c r="D9" s="14" t="str">
        <x:v>1</x:v>
      </x:c>
      <x:c r="E9" s="14" t="str">
        <x:v>技能</x:v>
      </x:c>
      <x:c r="F9" s="14" t="str">
        <x:v>状态</x:v>
      </x:c>
      <x:c r="G9" s="14" t="str">
        <x:v>产物；耐久；动态目标</x:v>
      </x:c>
      <x:c r="H9" s="14" t="str">
        <x:v>从左到右执行模块；使用后失去1耐久；0耐久无法打出</x:v>
      </x:c>
      <x:c r="I9" s="14" t="str">
        <x:v>不可升级</x:v>
      </x:c>
      <x:c r="J9" s="14" t="str">
        <x:v>不具有保留</x:v>
      </x:c>
      <x:c r="K9" s="14" t="str"/>
      <x:c r="L9" s="14" t="str">
        <x:v>阻塞实现</x:v>
      </x:c>
      <x:c r="M9" s="14" t="str">
        <x:v>缺少动态目标、卡牌类型触发、模块执行阶段、耐久持久化和目标死亡后的规则，是当前最大实现阻塞。</x:v>
      </x:c>
      <x:c r="N9" s="14" t="str">
        <x:v>建立统一产物规则：是否需要敌方目标由模块决定；产物只触发一次“打出技能”；内部模块不视为打出原卡；结构模块在创建时结算，使用模块按序结算，使用后模块在扣耐久后结算。</x:v>
      </x:c>
    </x:row>
    <x:row r="10">
      <x:c r="A10" s="14" t="str">
        <x:v>总装师-生成状态</x:v>
      </x:c>
      <x:c r="B10" s="14" t="str">
        <x:v>机械废料</x:v>
      </x:c>
      <x:c r="C10" s="14" t="str">
        <x:v>MechanicalScrap</x:v>
      </x:c>
      <x:c r="D10" s="14" t="str">
        <x:v>0</x:v>
      </x:c>
      <x:c r="E10" s="14" t="str">
        <x:v>状态</x:v>
      </x:c>
      <x:c r="F10" s="14" t="str">
        <x:v>状态</x:v>
      </x:c>
      <x:c r="G10" s="14" t="str">
        <x:v>废料；机械；无法打出</x:v>
      </x:c>
      <x:c r="H10" s="14" t="str">
        <x:v>无法打出；占据手牌位置。被“处理”时消耗，并在原手牌位置生成1张次级传送带。</x:v>
      </x:c>
      <x:c r="I10" s="14" t="str">
        <x:v>不可升级</x:v>
      </x:c>
      <x:c r="J10" s="14" t="str">
        <x:v>回合结束进入弃牌堆；普通消耗、熔炼或拆用不会生成次级传送带。</x:v>
      </x:c>
      <x:c r="K10" s="14" t="str">
        <x:v>废料双体系核心</x:v>
      </x:c>
      <x:c r="L10" s="14" t="str">
        <x:v>重点实测</x:v>
      </x:c>
      <x:c r="M10" s="14" t="str">
        <x:v>机械废料是标准装配的主要副产物，处理后提供过牌补偿而非直接卡差收益。</x:v>
      </x:c>
      <x:c r="N10" s="14" t="str">
        <x:v>处理只作用于手牌中的废料，除非卡牌明确允许处理弃牌堆。</x:v>
      </x:c>
    </x:row>
    <x:row r="11">
      <x:c r="A11" s="14" t="str">
        <x:v>总装师-奖励零件</x:v>
      </x:c>
      <x:c r="B11" s="14" t="str">
        <x:v>锯齿盘</x:v>
      </x:c>
      <x:c r="C11" s="14" t="str">
        <x:v>SawBlade</x:v>
      </x:c>
      <x:c r="D11" s="14" t="str">
        <x:v>1</x:v>
      </x:c>
      <x:c r="E11" s="14" t="str">
        <x:v>攻击</x:v>
      </x:c>
      <x:c r="F11" s="14" t="str">
        <x:v>普通</x:v>
      </x:c>
      <x:c r="G11" s="14" t="str">
        <x:v>零件；伤害模块7</x:v>
      </x:c>
      <x:c r="H11" s="14" t="str">
        <x:v>打出造成8伤害；装配提供7伤害模块</x:v>
      </x:c>
      <x:c r="I11" s="14" t="str">
        <x:v>打出8→11；模块7→9</x:v>
      </x:c>
      <x:c r="J11" s="14" t="str"/>
      <x:c r="K11" s="14" t="str"/>
      <x:c r="L11" s="14" t="str">
        <x:v>通过</x:v>
      </x:c>
      <x:c r="M11" s="14" t="str">
        <x:v>普通攻击零件定位明确。</x:v>
      </x:c>
      <x:c r="N11" s="14" t="str">
        <x:v>保留现状。</x:v>
      </x:c>
    </x:row>
    <x:row r="12">
      <x:c r="A12" s="14" t="str">
        <x:v>总装师-奖励零件</x:v>
      </x:c>
      <x:c r="B12" s="14" t="str">
        <x:v>缓冲垫</x:v>
      </x:c>
      <x:c r="C12" s="14" t="str">
        <x:v>CushionPad</x:v>
      </x:c>
      <x:c r="D12" s="14" t="str">
        <x:v>1</x:v>
      </x:c>
      <x:c r="E12" s="14" t="str">
        <x:v>技能</x:v>
      </x:c>
      <x:c r="F12" s="14" t="str">
        <x:v>普通</x:v>
      </x:c>
      <x:c r="G12" s="14" t="str">
        <x:v>零件；格挡模块6</x:v>
      </x:c>
      <x:c r="H12" s="14" t="str">
        <x:v>打出获得7格挡；装配提供6格挡模块</x:v>
      </x:c>
      <x:c r="I12" s="14" t="str">
        <x:v>打出7→10；模块6→8</x:v>
      </x:c>
      <x:c r="J12" s="14" t="str"/>
      <x:c r="K12" s="14" t="str"/>
      <x:c r="L12" s="14" t="str">
        <x:v>通过</x:v>
      </x:c>
      <x:c r="M12" s="14" t="str">
        <x:v>普通防御零件定位明确。</x:v>
      </x:c>
      <x:c r="N12" s="14" t="str">
        <x:v>保留现状。</x:v>
      </x:c>
    </x:row>
    <x:row r="13">
      <x:c r="A13" s="14" t="str">
        <x:v>总装师-奖励零件</x:v>
      </x:c>
      <x:c r="B13" s="14" t="str">
        <x:v>增压器</x:v>
      </x:c>
      <x:c r="C13" s="14" t="str">
        <x:v>BoosterPart</x:v>
      </x:c>
      <x:c r="D13" s="14" t="str">
        <x:v>1</x:v>
      </x:c>
      <x:c r="E13" s="14" t="str">
        <x:v>技能</x:v>
      </x:c>
      <x:c r="F13" s="14" t="str">
        <x:v>普通</x:v>
      </x:c>
      <x:c r="G13" s="14" t="str">
        <x:v>零件；右邻接；增压模块</x:v>
      </x:c>
      <x:c r="H13" s="14" t="str">
        <x:v>选择并标记右侧相邻的1张攻击零件；该牌本回合造成的伤害提高50%。模块：强化后续首个伤害或格挡模块50%。若右侧没有攻击零件则不能打出。</x:v>
      </x:c>
      <x:c r="I13" s="14" t="str">
        <x:v>费用1→0</x:v>
      </x:c>
      <x:c r="J13" s="14" t="str">
        <x:v>位置收益从“下一张攻击”收紧为必须紧邻右侧，强化幅度向下取整。</x:v>
      </x:c>
      <x:c r="K13" s="14" t="str">
        <x:v>位置改版</x:v>
      </x:c>
      <x:c r="L13" s="14" t="str">
        <x:v>重点实测</x:v>
      </x:c>
      <x:c r="M13" s="14" t="str">
        <x:v>需要先把增压器移动到攻击零件左边，直接出牌与装配均共享“前置模块”逻辑。</x:v>
      </x:c>
      <x:c r="N13" s="14" t="str">
        <x:v>明确标记在目标离开手牌或回合结束时失效；多个增压器按加法叠加倍率。</x:v>
      </x:c>
    </x:row>
    <x:row r="14">
      <x:c r="A14" s="14" t="str">
        <x:v>总装师-奖励零件</x:v>
      </x:c>
      <x:c r="B14" s="14" t="str">
        <x:v>联轴器</x:v>
      </x:c>
      <x:c r="C14" s="14" t="str">
        <x:v>CouplingPart</x:v>
      </x:c>
      <x:c r="D14" s="14" t="str">
        <x:v>1</x:v>
      </x:c>
      <x:c r="E14" s="14" t="str">
        <x:v>技能</x:v>
      </x:c>
      <x:c r="F14" s="14" t="str">
        <x:v>普通</x:v>
      </x:c>
      <x:c r="G14" s="14" t="str">
        <x:v>零件；右邻接；重复模块</x:v>
      </x:c>
      <x:c r="H14" s="14" t="str">
        <x:v>选择并标记右侧相邻的1张零件；该牌本回合打出时，重复其最后一段基础伤害或格挡的50%。模块：重复此前最近的输出模块50%。若右侧没有具有伤害或格挡的零件则不能打出。</x:v>
      </x:c>
      <x:c r="I14" s="14" t="str">
        <x:v>重复比例50%→75%</x:v>
      </x:c>
      <x:c r="J14" s="14" t="str">
        <x:v>直接效果必须先将联轴器放在目标零件左侧；不复制抽牌、能量或修饰效果。</x:v>
      </x:c>
      <x:c r="K14" s="14" t="str">
        <x:v>位置改版</x:v>
      </x:c>
      <x:c r="L14" s="14" t="str">
        <x:v>重点实测</x:v>
      </x:c>
      <x:c r="M14" s="14" t="str">
        <x:v>将原先模糊的“此前输出”改为对右邻零件预先加装联轴，使手牌顺序产生明确收益。</x:v>
      </x:c>
      <x:c r="N14" s="14" t="str">
        <x:v>伤害沿用目标零件的目标；目标死亡则重复伤害跳过。</x:v>
      </x:c>
    </x:row>
    <x:row r="15">
      <x:c r="A15" s="14" t="str">
        <x:v>总装师-奖励功能牌</x:v>
      </x:c>
      <x:c r="B15" s="14" t="str">
        <x:v>简易维修</x:v>
      </x:c>
      <x:c r="C15" s="14" t="str">
        <x:v>SimpleRepair</x:v>
      </x:c>
      <x:c r="D15" s="14" t="str">
        <x:v>1</x:v>
      </x:c>
      <x:c r="E15" s="14" t="str">
        <x:v>技能</x:v>
      </x:c>
      <x:c r="F15" s="14" t="str">
        <x:v>普通</x:v>
      </x:c>
      <x:c r="G15" s="14" t="str">
        <x:v>维修</x:v>
      </x:c>
      <x:c r="H15" s="14" t="str">
        <x:v>维修产物1点；若原本故障则获得6格挡</x:v>
      </x:c>
      <x:c r="I15" s="14" t="str">
        <x:v>维修1→2</x:v>
      </x:c>
      <x:c r="J15" s="14" t="str"/>
      <x:c r="K15" s="14" t="str"/>
      <x:c r="L15" s="14" t="str">
        <x:v>需澄清</x:v>
      </x:c>
      <x:c r="M15" s="14" t="str">
        <x:v>需要产物目标，但无合法目标时能否打出未写明。</x:v>
      </x:c>
      <x:c r="N15" s="14" t="str">
        <x:v>明确必须有可维修产物才能打出，或改为附带少量基础格挡以避免死牌。</x:v>
      </x:c>
    </x:row>
    <x:row r="16">
      <x:c r="A16" s="14" t="str">
        <x:v>总装师-奖励功能牌</x:v>
      </x:c>
      <x:c r="B16" s="14" t="str">
        <x:v>传送带</x:v>
      </x:c>
      <x:c r="C16" s="14" t="str">
        <x:v>ConveyorBelt</x:v>
      </x:c>
      <x:c r="D16" s="14" t="str">
        <x:v>0</x:v>
      </x:c>
      <x:c r="E16" s="14" t="str">
        <x:v>技能</x:v>
      </x:c>
      <x:c r="F16" s="14" t="str">
        <x:v>普通</x:v>
      </x:c>
      <x:c r="G16" s="14" t="str">
        <x:v>排序；消耗</x:v>
      </x:c>
      <x:c r="H16" s="14" t="str">
        <x:v>将一张手牌移动到最左或最右</x:v>
      </x:c>
      <x:c r="I16" s="14" t="str">
        <x:v>先抽1张牌</x:v>
      </x:c>
      <x:c r="J16" s="14" t="str">
        <x:v>两步选牌</x:v>
      </x:c>
      <x:c r="K16" s="14" t="str"/>
      <x:c r="L16" s="14" t="str">
        <x:v>通过</x:v>
      </x:c>
      <x:c r="M16" s="14" t="str">
        <x:v>与机械臂形成不同定位，升级后的抽牌顺序也明确。</x:v>
      </x:c>
      <x:c r="N16" s="14" t="str">
        <x:v>保留两步选择；先抽牌再选择移动目标。</x:v>
      </x:c>
    </x:row>
    <x:row r="17">
      <x:c r="A17" s="14" t="str">
        <x:v>总装师-奖励功能牌</x:v>
      </x:c>
      <x:c r="B17" s="14" t="str">
        <x:v>废料分拣</x:v>
      </x:c>
      <x:c r="C17" s="14" t="str">
        <x:v>ScrapSorting</x:v>
      </x:c>
      <x:c r="D17" s="14" t="str">
        <x:v>0</x:v>
      </x:c>
      <x:c r="E17" s="14" t="str">
        <x:v>技能</x:v>
      </x:c>
      <x:c r="F17" s="14" t="str">
        <x:v>普通</x:v>
      </x:c>
      <x:c r="G17" s="14" t="str">
        <x:v>处理；任意废料</x:v>
      </x:c>
      <x:c r="H17" s="14" t="str">
        <x:v>处理手牌中的1张任意废料。</x:v>
      </x:c>
      <x:c r="I17" s="14" t="str">
        <x:v>可以处理1至2张任意废料</x:v>
      </x:c>
      <x:c r="J17" s="14" t="str">
        <x:v>处理会按废料类型生成对应次级产物；无废料时不能打出。</x:v>
      </x:c>
      <x:c r="K17" s="14" t="str">
        <x:v>废料双体系改版</x:v>
      </x:c>
      <x:c r="L17" s="14" t="str">
        <x:v>重点实测</x:v>
      </x:c>
      <x:c r="M17" s="14" t="str">
        <x:v>作为最基础的通用处理牌，不再额外抽牌，避免机械废料处理后形成0费抽2。</x:v>
      </x:c>
      <x:c r="N17" s="14" t="str">
        <x:v>升级版允许自由选择1或2张，并按手牌从左到右处理。</x:v>
      </x:c>
    </x:row>
    <x:row r="18">
      <x:c r="A18" s="14" t="str">
        <x:v>总装师-装配牌</x:v>
      </x:c>
      <x:c r="B18" s="14" t="str">
        <x:v>快速装配</x:v>
      </x:c>
      <x:c r="C18" s="14" t="str">
        <x:v>QuickAssembly</x:v>
      </x:c>
      <x:c r="D18" s="14" t="str">
        <x:v>0</x:v>
      </x:c>
      <x:c r="E18" s="14" t="str">
        <x:v>技能</x:v>
      </x:c>
      <x:c r="F18" s="14" t="str">
        <x:v>普通</x:v>
      </x:c>
      <x:c r="G18" s="14" t="str">
        <x:v>装配；消耗；机械废料</x:v>
      </x:c>
      <x:c r="H18" s="14" t="str">
        <x:v>装配2张相邻零件；产物0费1耐久；将1张机械废料加入弃牌堆。</x:v>
      </x:c>
      <x:c r="I18" s="14" t="str">
        <x:v>装配完成后抽1张牌</x:v>
      </x:c>
      <x:c r="J18" s="14" t="str">
        <x:v>默认产生机械废料。</x:v>
      </x:c>
      <x:c r="K18" s="14" t="str">
        <x:v>废料双体系适配</x:v>
      </x:c>
      <x:c r="L18" s="14" t="str">
        <x:v>高风险实测</x:v>
      </x:c>
      <x:c r="M18" s="14" t="str">
        <x:v>0费产物与次级能量储罐组合可能形成爆发回合，需要限制生物废料的免费处理来源。</x:v>
      </x:c>
      <x:c r="N18" s="14" t="str">
        <x:v>保留1耐久；升级只补充运转，不增加产物重复使用次数。</x:v>
      </x:c>
    </x:row>
    <x:row r="19">
      <x:c r="A19" s="14" t="str">
        <x:v>总装师-装配牌</x:v>
      </x:c>
      <x:c r="B19" s="14" t="str">
        <x:v>三联装配</x:v>
      </x:c>
      <x:c r="C19" s="14" t="str">
        <x:v>TripleAssembly</x:v>
      </x:c>
      <x:c r="D19" s="14" t="str">
        <x:v>1</x:v>
      </x:c>
      <x:c r="E19" s="14" t="str">
        <x:v>技能</x:v>
      </x:c>
      <x:c r="F19" s="14" t="str">
        <x:v>罕见</x:v>
      </x:c>
      <x:c r="G19" s="14" t="str">
        <x:v>装配；消耗；机械废料</x:v>
      </x:c>
      <x:c r="H19" s="14" t="str">
        <x:v>装配3张连续零件；产物2费2耐久；将2张机械废料加入弃牌堆。</x:v>
      </x:c>
      <x:c r="I19" s="14" t="str">
        <x:v>产物费用2→1</x:v>
      </x:c>
      <x:c r="J19" s="14" t="str">
        <x:v>默认产生机械废料。</x:v>
      </x:c>
      <x:c r="K19" s="14" t="str">
        <x:v>废料双体系适配</x:v>
      </x:c>
      <x:c r="L19" s="14" t="str">
        <x:v>重点实测</x:v>
      </x:c>
      <x:c r="M19" s="14" t="str">
        <x:v>大型机械装配为机械废料路线提供稳定数量，但不会自然产生生物废料。</x:v>
      </x:c>
      <x:c r="N19" s="14" t="str">
        <x:v>测试大型装配后机械废料数量是否过度堵塞第二轮牌库。</x:v>
      </x:c>
    </x:row>
    <x:row r="20">
      <x:c r="A20" s="14" t="str">
        <x:v>总装师-装配牌</x:v>
      </x:c>
      <x:c r="B20" s="14" t="str">
        <x:v>精密装配</x:v>
      </x:c>
      <x:c r="C20" s="14" t="str">
        <x:v>PrecisionAssembly</x:v>
      </x:c>
      <x:c r="D20" s="14" t="str">
        <x:v>1</x:v>
      </x:c>
      <x:c r="E20" s="14" t="str">
        <x:v>技能</x:v>
      </x:c>
      <x:c r="F20" s="14" t="str">
        <x:v>罕见</x:v>
      </x:c>
      <x:c r="G20" s="14" t="str">
        <x:v>装配；消耗；减少机械废料</x:v>
      </x:c>
      <x:c r="H20" s="14" t="str">
        <x:v>自由选择装配2或3张连续零件；产物费用为零件数量-1、基础2耐久；基础机械废料为数量-1，再少产生1张。</x:v>
      </x:c>
      <x:c r="I20" s="14" t="str">
        <x:v>产物最大及当前耐久+1</x:v>
      </x:c>
      <x:c r="J20" s="14" t="str">
        <x:v>2张模式产生0机械废料，3张模式产生1机械废料。</x:v>
      </x:c>
      <x:c r="K20" s="14" t="str">
        <x:v>废料双体系适配</x:v>
      </x:c>
      <x:c r="L20" s="14" t="str">
        <x:v>重点实测</x:v>
      </x:c>
      <x:c r="M20" s="14" t="str">
        <x:v>精密路线降低机械污染，但不会减少生物类卡牌自身产生的生物废料。</x:v>
      </x:c>
      <x:c r="N20" s="14" t="str">
        <x:v>必须提供明确的2/3数量选择界面。</x:v>
      </x:c>
    </x:row>
    <x:row r="21">
      <x:c r="A21" s="14" t="str">
        <x:v>总装师-奖励零件</x:v>
      </x:c>
      <x:c r="B21" s="14" t="str">
        <x:v>分流阀</x:v>
      </x:c>
      <x:c r="C21" s="14" t="str">
        <x:v>DiverterValve</x:v>
      </x:c>
      <x:c r="D21" s="14" t="str">
        <x:v>1</x:v>
      </x:c>
      <x:c r="E21" s="14" t="str">
        <x:v>技能</x:v>
      </x:c>
      <x:c r="F21" s="14" t="str">
        <x:v>罕见</x:v>
      </x:c>
      <x:c r="G21" s="14" t="str">
        <x:v>零件；右邻接；分流模块</x:v>
      </x:c>
      <x:c r="H21" s="14" t="str">
        <x:v>打出获得6格挡，并标记右侧相邻的1张攻击零件：该牌本回合改为攻击所有敌人，但伤害降低25%。模块：令后续首个单体伤害模块改为全体伤害。</x:v>
      </x:c>
      <x:c r="I21" s="14" t="str">
        <x:v>格挡6→9；直接标记不再降低伤害；模块使该次全体伤害提高25%</x:v>
      </x:c>
      <x:c r="J21" s="14" t="str">
        <x:v>若右侧没有攻击零件，仍可作为6格挡牌打出，但不产生分流效果。</x:v>
      </x:c>
      <x:c r="K21" s="14" t="str">
        <x:v>位置改版</x:v>
      </x:c>
      <x:c r="L21" s="14" t="str">
        <x:v>重点实测</x:v>
      </x:c>
      <x:c r="M21" s="14" t="str">
        <x:v>玩家需要把分流阀放在攻击零件左侧；升级后形成明显的高价值位置组合。</x:v>
      </x:c>
      <x:c r="N21" s="14" t="str">
        <x:v>倍率均向下取整；只影响被标记牌或后续首个有效伤害模块。</x:v>
      </x:c>
    </x:row>
    <x:row r="22">
      <x:c r="A22" s="14" t="str">
        <x:v>总装师-奖励零件</x:v>
      </x:c>
      <x:c r="B22" s="14" t="str">
        <x:v>强化框架</x:v>
      </x:c>
      <x:c r="C22" s="14" t="str">
        <x:v>ReinforcedFrame</x:v>
      </x:c>
      <x:c r="D22" s="14" t="str">
        <x:v>1</x:v>
      </x:c>
      <x:c r="E22" s="14" t="str">
        <x:v>技能</x:v>
      </x:c>
      <x:c r="F22" s="14" t="str">
        <x:v>罕见</x:v>
      </x:c>
      <x:c r="G22" s="14" t="str">
        <x:v>零件；左右端；结构模块</x:v>
      </x:c>
      <x:c r="H22" s="14" t="str">
        <x:v>打出获得8格挡；若位于手牌最左侧，维修1点耐久；若位于最右侧，额外获得3格挡。模块：若为首模块，产物最大及当前耐久+1；若为末模块，产物第一次使用不损失耐久。</x:v>
      </x:c>
      <x:c r="I22" s="14" t="str">
        <x:v>格挡8→11；左端维修1→2；右端额外3→4；模块效果不变</x:v>
      </x:c>
      <x:c r="J22" s="14" t="str">
        <x:v>首尾效果不同；同一强化框架在产物中只能触发其实际所在端点效果。</x:v>
      </x:c>
      <x:c r="K22" s="14" t="str">
        <x:v>位置改版</x:v>
      </x:c>
      <x:c r="L22" s="14" t="str">
        <x:v>重点实测</x:v>
      </x:c>
      <x:c r="M22" s="14" t="str">
        <x:v>大型产物需要在“更高最大耐久”和“免费使用一次”之间选择框架位置。</x:v>
      </x:c>
      <x:c r="N22" s="14" t="str">
        <x:v>多个末端免损效果不叠加；多个首端耐久效果可叠加。</x:v>
      </x:c>
    </x:row>
    <x:row r="23">
      <x:c r="A23" s="14" t="str">
        <x:v>总装师-奖励功能牌</x:v>
      </x:c>
      <x:c r="B23" s="14" t="str">
        <x:v>废料熔炼</x:v>
      </x:c>
      <x:c r="C23" s="14" t="str">
        <x:v>ScrapSmelting</x:v>
      </x:c>
      <x:c r="D23" s="14" t="str">
        <x:v>1</x:v>
      </x:c>
      <x:c r="E23" s="14" t="str">
        <x:v>技能</x:v>
      </x:c>
      <x:c r="F23" s="14" t="str">
        <x:v>罕见</x:v>
      </x:c>
      <x:c r="G23" s="14" t="str">
        <x:v>废料处理；熔毁；不触发处理</x:v>
      </x:c>
      <x:c r="H23" s="14" t="str">
        <x:v>消耗手牌中1至3张任意废料，每张获得4格挡；若至少消耗2张，获得1能量。该消耗不触发废料的处理产物。</x:v>
      </x:c>
      <x:c r="I23" s="14" t="str">
        <x:v>每张4→6格挡</x:v>
      </x:c>
      <x:c r="J23" s="14" t="str">
        <x:v>熔炼是牺牲次级产物换取即时防御的另一条清废路线。</x:v>
      </x:c>
      <x:c r="K23" s="14" t="str">
        <x:v>废料双体系适配</x:v>
      </x:c>
      <x:c r="L23" s="14" t="str">
        <x:v>重点实测</x:v>
      </x:c>
      <x:c r="M23" s="14" t="str">
        <x:v>与“处理”区分：处理回收次级部件，熔炼直接转化为格挡和能量。</x:v>
      </x:c>
      <x:c r="N23" s="14" t="str">
        <x:v>允许选择1至3张；只有实际消耗至少2张才返还能量。</x:v>
      </x:c>
    </x:row>
    <x:row r="24">
      <x:c r="A24" s="14" t="str">
        <x:v>总装师-奖励功能牌</x:v>
      </x:c>
      <x:c r="B24" s="14" t="str">
        <x:v>临时补丁</x:v>
      </x:c>
      <x:c r="C24" s="14" t="str">
        <x:v>TemporaryPatch</x:v>
      </x:c>
      <x:c r="D24" s="14" t="str">
        <x:v>0</x:v>
      </x:c>
      <x:c r="E24" s="14" t="str">
        <x:v>技能</x:v>
      </x:c>
      <x:c r="F24" s="14" t="str">
        <x:v>罕见</x:v>
      </x:c>
      <x:c r="G24" s="14" t="str">
        <x:v>维修；消耗</x:v>
      </x:c>
      <x:c r="H24" s="14" t="str">
        <x:v>维修故障产物1点并令其下次0费，使用后消耗产物</x:v>
      </x:c>
      <x:c r="I24" s="14" t="str">
        <x:v>使用后改为重新故障</x:v>
      </x:c>
      <x:c r="J24" s="14" t="str"/>
      <x:c r="K24" s="14" t="str"/>
      <x:c r="L24" s="14" t="str">
        <x:v>需澄清</x:v>
      </x:c>
      <x:c r="M24" s="14" t="str">
        <x:v>“下次0费”和“使用后消耗/重新故障”的持续时间与目标状态需要明确。</x:v>
      </x:c>
      <x:c r="N24" s="14" t="str">
        <x:v>只能选择故障产物；0费效果持续至该产物下次使用或战斗结束；升级版使用后耐久设为0。</x:v>
      </x:c>
    </x:row>
    <x:row r="25">
      <x:c r="A25" s="14" t="str">
        <x:v>总装师-奖励功能牌</x:v>
      </x:c>
      <x:c r="B25" s="14" t="str">
        <x:v>逆向传送</x:v>
      </x:c>
      <x:c r="C25" s="14" t="str">
        <x:v>ReverseConveyor</x:v>
      </x:c>
      <x:c r="D25" s="14" t="str">
        <x:v>1</x:v>
      </x:c>
      <x:c r="E25" s="14" t="str">
        <x:v>技能</x:v>
      </x:c>
      <x:c r="F25" s="14" t="str">
        <x:v>罕见</x:v>
      </x:c>
      <x:c r="G25" s="14" t="str">
        <x:v>排序</x:v>
      </x:c>
      <x:c r="H25" s="14" t="str">
        <x:v>反转至多4张连续手牌并抽1张</x:v>
      </x:c>
      <x:c r="I25" s="14" t="str">
        <x:v>费用1→0</x:v>
      </x:c>
      <x:c r="J25" s="14" t="str">
        <x:v>手牌足够时当前要求4张</x:v>
      </x:c>
      <x:c r="K25" s="14" t="str"/>
      <x:c r="L25" s="14" t="str">
        <x:v>需修改</x:v>
      </x:c>
      <x:c r="M25" s="14" t="str">
        <x:v>“至多4张”当前强制选择4张；若允许只选1张，升级后会变成无条件0费抽1。</x:v>
      </x:c>
      <x:c r="N25" s="14" t="str">
        <x:v>允许选择2至4张连续手牌，不能选择1张；升级仅降费。</x:v>
      </x:c>
    </x:row>
    <x:row r="26">
      <x:c r="A26" s="14" t="str">
        <x:v>总装师-装配牌</x:v>
      </x:c>
      <x:c r="B26" s="14" t="str">
        <x:v>废料填充</x:v>
      </x:c>
      <x:c r="C26" s="14" t="str">
        <x:v>ScrapFilling</x:v>
      </x:c>
      <x:c r="D26" s="14" t="str">
        <x:v>1</x:v>
      </x:c>
      <x:c r="E26" s="14" t="str">
        <x:v>技能</x:v>
      </x:c>
      <x:c r="F26" s="14" t="str">
        <x:v>罕见</x:v>
      </x:c>
      <x:c r="G26" s="14" t="str">
        <x:v>装配；任意废料模块；消耗</x:v>
      </x:c>
      <x:c r="H26" s="14" t="str">
        <x:v>选择连续的3张手牌，其中恰好包含2张零件与1张任意废料；按原顺序装配。产物1费、基础2耐久；废料成为5格挡模块并使最大耐久-1。</x:v>
      </x:c>
      <x:c r="I26" s="14" t="str">
        <x:v>废料模块5→8格挡</x:v>
      </x:c>
      <x:c r="J26" s="14" t="str">
        <x:v>机械与生物废料在填充时效果相同，且不会生成次级产物。</x:v>
      </x:c>
      <x:c r="K26" s="14" t="str">
        <x:v>废料双体系适配</x:v>
      </x:c>
      <x:c r="L26" s="14" t="str">
        <x:v>重点实测</x:v>
      </x:c>
      <x:c r="M26" s="14" t="str">
        <x:v>废料填充提供第三种处理方向：不回收，而是把废料直接封装进产物。</x:v>
      </x:c>
      <x:c r="N26" s="14" t="str">
        <x:v>最大耐久最低为1；废料模块不视为攻击或技能类型。</x:v>
      </x:c>
    </x:row>
    <x:row r="27">
      <x:c r="A27" s="14" t="str">
        <x:v>总装师-能力牌</x:v>
      </x:c>
      <x:c r="B27" s="14" t="str">
        <x:v>全自动生产</x:v>
      </x:c>
      <x:c r="C27" s="14" t="str">
        <x:v>FullAutoProduction</x:v>
      </x:c>
      <x:c r="D27" s="14" t="str">
        <x:v>2</x:v>
      </x:c>
      <x:c r="E27" s="14" t="str">
        <x:v>能力</x:v>
      </x:c>
      <x:c r="F27" s="14" t="str">
        <x:v>稀有</x:v>
      </x:c>
      <x:c r="G27" s="14" t="str">
        <x:v>首次装配</x:v>
      </x:c>
      <x:c r="H27" s="14" t="str">
        <x:v>每回合首次装配抽1并少产生1废料</x:v>
      </x:c>
      <x:c r="I27" s="14" t="str">
        <x:v>费用2→1</x:v>
      </x:c>
      <x:c r="J27" s="14" t="str">
        <x:v>多张不叠加首次次数</x:v>
      </x:c>
      <x:c r="K27" s="14" t="str"/>
      <x:c r="L27" s="14" t="str">
        <x:v>需澄清</x:v>
      </x:c>
      <x:c r="M27" s="14" t="str">
        <x:v>多张能力不叠加“首次次数”，但抽牌与减废是否按副本叠加未定义。</x:v>
      </x:c>
      <x:c r="N27" s="14" t="str">
        <x:v>建议每回合只触发一次事件，但每张能力分别提供抽1和减废1；或明确整项效果不可叠加并限制只生效一张。</x:v>
      </x:c>
    </x:row>
    <x:row r="28">
      <x:c r="A28" s="14" t="str">
        <x:v>总装师-能力牌</x:v>
      </x:c>
      <x:c r="B28" s="14" t="str">
        <x:v>预防性维护</x:v>
      </x:c>
      <x:c r="C28" s="14" t="str">
        <x:v>PreventiveMaintenance</x:v>
      </x:c>
      <x:c r="D28" s="14" t="str">
        <x:v>1</x:v>
      </x:c>
      <x:c r="E28" s="14" t="str">
        <x:v>能力</x:v>
      </x:c>
      <x:c r="F28" s="14" t="str">
        <x:v>稀有</x:v>
      </x:c>
      <x:c r="G28" s="14" t="str">
        <x:v>首次产物</x:v>
      </x:c>
      <x:c r="H28" s="14" t="str">
        <x:v>每回合首次使用产物不失耐久</x:v>
      </x:c>
      <x:c r="I28" s="14" t="str">
        <x:v>每回合首次维修抽1</x:v>
      </x:c>
      <x:c r="J28" s="14" t="str"/>
      <x:c r="K28" s="14" t="str"/>
      <x:c r="L28" s="14" t="str">
        <x:v>需澄清</x:v>
      </x:c>
      <x:c r="M28" s="14" t="str">
        <x:v>多个副本对首次使用和升级后的首次维修如何叠加未定义。</x:v>
      </x:c>
      <x:c r="N28" s="14" t="str">
        <x:v>建议免耐久效果每回合仅一次且不因副本增加次数；抽牌可以按副本分别触发，或统一设为不可叠加。</x:v>
      </x:c>
    </x:row>
    <x:row r="29">
      <x:c r="A29" s="14" t="str">
        <x:v>总装师-奖励零件</x:v>
      </x:c>
      <x:c r="B29" s="14" t="str">
        <x:v>自修复核心</x:v>
      </x:c>
      <x:c r="C29" s="14" t="str">
        <x:v>SelfRepairCore</x:v>
      </x:c>
      <x:c r="D29" s="14" t="str">
        <x:v>1</x:v>
      </x:c>
      <x:c r="E29" s="14" t="str">
        <x:v>技能</x:v>
      </x:c>
      <x:c r="F29" s="14" t="str">
        <x:v>稀有</x:v>
      </x:c>
      <x:c r="G29" s="14" t="str">
        <x:v>零件；使用后维修；拆用任意废料</x:v>
      </x:c>
      <x:c r="H29" s="14" t="str">
        <x:v>打出维修一个产物2点。模块：产物扣除耐久后，可消耗手牌中1张任意废料（不触发处理），若如此做，恢复1点耐久。</x:v>
      </x:c>
      <x:c r="I29" s="14" t="str">
        <x:v>模块额外获得1能量</x:v>
      </x:c>
      <x:c r="J29" s="14" t="str">
        <x:v>无废料时不触发；升级后的能量与0费产物存在循环风险。</x:v>
      </x:c>
      <x:c r="K29" s="14" t="str">
        <x:v>废料双体系适配</x:v>
      </x:c>
      <x:c r="L29" s="14" t="str">
        <x:v>高风险实测</x:v>
      </x:c>
      <x:c r="M29" s="14" t="str">
        <x:v>自修复核心选择牺牲废料的次级产物，换取设备续航。</x:v>
      </x:c>
      <x:c r="N29" s="14" t="str">
        <x:v>每次产物使用最多触发1个自修复核心的废料消耗。</x:v>
      </x:c>
    </x:row>
    <x:row r="30">
      <x:c r="A30" s="14" t="str">
        <x:v>总装师-奖励功能牌</x:v>
      </x:c>
      <x:c r="B30" s="14" t="str">
        <x:v>逆向工程</x:v>
      </x:c>
      <x:c r="C30" s="14" t="str">
        <x:v>ReverseEngineering</x:v>
      </x:c>
      <x:c r="D30" s="14" t="str">
        <x:v>1</x:v>
      </x:c>
      <x:c r="E30" s="14" t="str">
        <x:v>技能</x:v>
      </x:c>
      <x:c r="F30" s="14" t="str">
        <x:v>稀有</x:v>
      </x:c>
      <x:c r="G30" s="14" t="str">
        <x:v>拆解；消耗</x:v>
      </x:c>
      <x:c r="H30" s="14" t="str">
        <x:v>拆解产物并将原零件逆序返回手牌</x:v>
      </x:c>
      <x:c r="I30" s="14" t="str">
        <x:v>原顺序返回且首张本回合0费</x:v>
      </x:c>
      <x:c r="J30" s="14" t="str">
        <x:v>超出手牌上限需实机确认</x:v>
      </x:c>
      <x:c r="K30" s="14" t="str"/>
      <x:c r="L30" s="14" t="str">
        <x:v>需澄清</x:v>
      </x:c>
      <x:c r="M30" s="14" t="str">
        <x:v>手牌溢出、零件升级状态、临时费用修改和产物结构模块移除后的处理未完整定义。</x:v>
      </x:c>
      <x:c r="N30" s="14" t="str">
        <x:v>零件保留原升级状态，清除产物给予的临时修改；超出手牌上限的零件进入弃牌堆；拆解不产生废料。</x:v>
      </x:c>
    </x:row>
    <x:row r="31">
      <x:c r="A31" s="14" t="str">
        <x:v>总装师-装配牌</x:v>
      </x:c>
      <x:c r="B31" s="14" t="str">
        <x:v>工业奇迹</x:v>
      </x:c>
      <x:c r="C31" s="14" t="str">
        <x:v>IndustrialMiracle</x:v>
      </x:c>
      <x:c r="D31" s="14" t="str">
        <x:v>2</x:v>
      </x:c>
      <x:c r="E31" s="14" t="str">
        <x:v>技能</x:v>
      </x:c>
      <x:c r="F31" s="14" t="str">
        <x:v>稀有</x:v>
      </x:c>
      <x:c r="G31" s="14" t="str">
        <x:v>装配；消耗；机械废料</x:v>
      </x:c>
      <x:c r="H31" s="14" t="str">
        <x:v>装配4张连续零件；产物2费3耐久；将3张机械废料加入弃牌堆；首次使用时每个输出模块额外执行一次。</x:v>
      </x:c>
      <x:c r="I31" s="14" t="str">
        <x:v>机械废料3→2</x:v>
      </x:c>
      <x:c r="J31" s="14" t="str">
        <x:v>默认产生机械废料。</x:v>
      </x:c>
      <x:c r="K31" s="14" t="str">
        <x:v>废料双体系适配</x:v>
      </x:c>
      <x:c r="L31" s="14" t="str">
        <x:v>重点实测</x:v>
      </x:c>
      <x:c r="M31" s="14" t="str">
        <x:v>工业奇迹会显著喂养机械回收体系，但仍需跨回合承担污染。</x:v>
      </x:c>
      <x:c r="N31" s="14" t="str">
        <x:v>修饰模块不重复；产物是否保留需实测。</x:v>
      </x:c>
    </x:row>
    <x:row r="32">
      <x:c r="A32" s="14" t="str">
        <x:v>总装师-奖励功能牌</x:v>
      </x:c>
      <x:c r="B32" s="14" t="str">
        <x:v>临时缓存</x:v>
      </x:c>
      <x:c r="C32" s="14" t="str">
        <x:v>TemporaryBuffer</x:v>
      </x:c>
      <x:c r="D32" s="14" t="str">
        <x:v>0</x:v>
      </x:c>
      <x:c r="E32" s="14" t="str">
        <x:v>技能</x:v>
      </x:c>
      <x:c r="F32" s="14" t="str">
        <x:v>普通</x:v>
      </x:c>
      <x:c r="G32" s="14" t="str">
        <x:v>暂存；移除隔断；消耗</x:v>
      </x:c>
      <x:c r="H32" s="14" t="str">
        <x:v>选择另一张手牌暂存。若该牌原本夹在两张零件之间，本回合下一次装配完成后抽1张牌。装配后或回合结束前将暂存牌放回手牌最右侧。</x:v>
      </x:c>
      <x:c r="I32" s="14" t="str">
        <x:v>返回手牌时，本回合费用降低1</x:v>
      </x:c>
      <x:c r="J32" s="14" t="str">
        <x:v>暂存不视为弃牌、消耗或打出；只能暂存1张牌。</x:v>
      </x:c>
      <x:c r="K32" s="41" t="str">
        <x:v>新增设计</x:v>
      </x:c>
      <x:c r="L32" s="14" t="str">
        <x:v>重点实测</x:v>
      </x:c>
      <x:c r="M32" s="14" t="str">
        <x:v>用于移走诅咒、废料或功能牌造成的隔断，并把“打通两个零件”转化为抽牌收益。</x:v>
      </x:c>
      <x:c r="N32" s="14" t="str">
        <x:v>必须记录暂存牌原位置及其左右邻牌是否均为零件。</x:v>
      </x:c>
    </x:row>
    <x:row r="33">
      <x:c r="A33" s="14" t="str">
        <x:v>总装师-奖励功能牌</x:v>
      </x:c>
      <x:c r="B33" s="14" t="str">
        <x:v>批次标签</x:v>
      </x:c>
      <x:c r="C33" s="14" t="str">
        <x:v>BatchTag</x:v>
      </x:c>
      <x:c r="D33" s="14" t="str">
        <x:v>0</x:v>
      </x:c>
      <x:c r="E33" s="14" t="str">
        <x:v>技能</x:v>
      </x:c>
      <x:c r="F33" s="14" t="str">
        <x:v>普通</x:v>
      </x:c>
      <x:c r="G33" s="14" t="str">
        <x:v>标记；首尾奖励；消耗</x:v>
      </x:c>
      <x:c r="H33" s="14" t="str">
        <x:v>选择1张零件并标记。若其本回合被装配为首模块，装配后抽1张牌；若被装配为末模块，产物本回合费用降低1。只能触发实际所在位置对应的效果。</x:v>
      </x:c>
      <x:c r="I33" s="14" t="str">
        <x:v>若该零件是中间模块，装配后获得1能量</x:v>
      </x:c>
      <x:c r="J33" s="14" t="str">
        <x:v>标签在回合结束时失效；同一零件只能有1个批次标签。</x:v>
      </x:c>
      <x:c r="K33" s="41" t="str">
        <x:v>新增设计</x:v>
      </x:c>
      <x:c r="L33" s="14" t="str">
        <x:v>高风险实测</x:v>
      </x:c>
      <x:c r="M33" s="14" t="str">
        <x:v>同一零件放在首、中、尾分别提供抽牌、能量或费用收益，直接提高模块位置价值。</x:v>
      </x:c>
      <x:c r="N33" s="14" t="str">
        <x:v>升级后的中间返能可能与0费装配形成循环，需限制每回合最多触发一次。</x:v>
      </x:c>
    </x:row>
    <x:row r="34">
      <x:c r="A34" s="14" t="str">
        <x:v>总装师-奖励功能牌</x:v>
      </x:c>
      <x:c r="B34" s="14" t="str">
        <x:v>旁路导轨</x:v>
      </x:c>
      <x:c r="C34" s="14" t="str">
        <x:v>BypassRail</x:v>
      </x:c>
      <x:c r="D34" s="14" t="str">
        <x:v>0</x:v>
      </x:c>
      <x:c r="E34" s="14" t="str">
        <x:v>技能</x:v>
      </x:c>
      <x:c r="F34" s="14" t="str">
        <x:v>普通</x:v>
      </x:c>
      <x:c r="G34" s="14" t="str">
        <x:v>任意废料隔断；虚拟相邻；消耗</x:v>
      </x:c>
      <x:c r="H34" s="14" t="str">
        <x:v>本回合下一次装配可跨过选中零件之间恰好1张任意废料。装配后将该废料移至手牌最左或最右；若移到送料器旁，抽1张。</x:v>
      </x:c>
      <x:c r="I34" s="14" t="str">
        <x:v>无论移动到哪一端，装配后抽1张</x:v>
      </x:c>
      <x:c r="J34" s="14" t="str">
        <x:v>不会处理或消耗废料。</x:v>
      </x:c>
      <x:c r="K34" s="41" t="str">
        <x:v>废料双体系适配</x:v>
      </x:c>
      <x:c r="L34" s="14" t="str">
        <x:v>重点实测</x:v>
      </x:c>
      <x:c r="M34" s="14" t="str">
        <x:v>两类废料都可作为生产线隔断，旁路只改变位置而不回收。</x:v>
      </x:c>
      <x:c r="N34" s="14" t="str">
        <x:v>被跨过的废料不进入产物，也不计入装配数量。</x:v>
      </x:c>
    </x:row>
    <x:row r="35">
      <x:c r="A35" s="14" t="str">
        <x:v>总装师-奖励零件</x:v>
      </x:c>
      <x:c r="B35" s="14" t="str">
        <x:v>滚轮组</x:v>
      </x:c>
      <x:c r="C35" s="14" t="str">
        <x:v>RollerAssembly</x:v>
      </x:c>
      <x:c r="D35" s="14" t="str">
        <x:v>1</x:v>
      </x:c>
      <x:c r="E35" s="14" t="str">
        <x:v>技能</x:v>
      </x:c>
      <x:c r="F35" s="14" t="str">
        <x:v>普通</x:v>
      </x:c>
      <x:c r="G35" s="14" t="str">
        <x:v>零件；牌库底；首尾过滤</x:v>
      </x:c>
      <x:c r="H35" s="14" t="str">
        <x:v>打出抽1张牌，然后将1张手牌放到抽牌堆底。模块：若为首模块，先将1张手牌放到底部再抽1张；若为末模块，先抽1张再将1张手牌放到底部。</x:v>
      </x:c>
      <x:c r="I35" s="14" t="str">
        <x:v>打出抽2张后放回1张；模块不变</x:v>
      </x:c>
      <x:c r="J35" s="14" t="str">
        <x:v>首尾执行顺序不同：首端适合先清理废料，末端适合先补牌再筛选。</x:v>
      </x:c>
      <x:c r="K35" s="41" t="str">
        <x:v>新增设计</x:v>
      </x:c>
      <x:c r="L35" s="14" t="str">
        <x:v>重点实测</x:v>
      </x:c>
      <x:c r="M35" s="14" t="str">
        <x:v>让模块端点不仅改变数值，还改变过滤操作顺序。</x:v>
      </x:c>
      <x:c r="N35" s="14" t="str">
        <x:v>手牌为空时放回步骤跳过；抽牌堆为空时仍可执行放回。</x:v>
      </x:c>
    </x:row>
    <x:row r="36">
      <x:c r="A36" s="14" t="str">
        <x:v>总装师-奖励零件</x:v>
      </x:c>
      <x:c r="B36" s="14" t="str">
        <x:v>出料计数器</x:v>
      </x:c>
      <x:c r="C36" s="14" t="str">
        <x:v>OutputCounter</x:v>
      </x:c>
      <x:c r="D36" s="14" t="str">
        <x:v>1</x:v>
      </x:c>
      <x:c r="E36" s="14" t="str">
        <x:v>技能</x:v>
      </x:c>
      <x:c r="F36" s="14" t="str">
        <x:v>普通</x:v>
      </x:c>
      <x:c r="G36" s="14" t="str">
        <x:v>零件；右端；装配后运转</x:v>
      </x:c>
      <x:c r="H36" s="14" t="str">
        <x:v>获得5格挡。若此牌位于手牌最右侧且本回合已装配，抽1张牌。模块：获得4格挡；若为产物末模块，抽1张牌。</x:v>
      </x:c>
      <x:c r="I36" s="14" t="str">
        <x:v>格挡5→8；模块格挡4→6</x:v>
      </x:c>
      <x:c r="J36" s="14" t="str">
        <x:v>直接效果同时要求装配历史与右端位置。</x:v>
      </x:c>
      <x:c r="K36" s="41" t="str">
        <x:v>新增设计</x:v>
      </x:c>
      <x:c r="L36" s="14" t="str">
        <x:v>重点实测</x:v>
      </x:c>
      <x:c r="M36" s="14" t="str">
        <x:v>作为明确的末端模块，补充装配后的手牌并与侧翼护板的左右分支形成差异。</x:v>
      </x:c>
      <x:c r="N36" s="14" t="str">
        <x:v>测试高耐久产物重复抽牌；必要时限制每次产物使用最多触发1个出料计数器。</x:v>
      </x:c>
    </x:row>
    <x:row r="37">
      <x:c r="A37" s="14" t="str">
        <x:v>总装师-奖励功能牌</x:v>
      </x:c>
      <x:c r="B37" s="14" t="str">
        <x:v>工序复核</x:v>
      </x:c>
      <x:c r="C37" s="14" t="str">
        <x:v>ProcessReview</x:v>
      </x:c>
      <x:c r="D37" s="14" t="str">
        <x:v>1</x:v>
      </x:c>
      <x:c r="E37" s="14" t="str">
        <x:v>技能</x:v>
      </x:c>
      <x:c r="F37" s="14" t="str">
        <x:v>罕见</x:v>
      </x:c>
      <x:c r="G37" s="14" t="str">
        <x:v>产物内部排序；相邻交换；消耗</x:v>
      </x:c>
      <x:c r="H37" s="14" t="str">
        <x:v>选择手牌中的1个产物，交换其中任意两个相邻模块。若交换后至少有1个模块新满足首端、末端或中间位置条件，抽1张牌。</x:v>
      </x:c>
      <x:c r="I37" s="14" t="str">
        <x:v>费用1→0</x:v>
      </x:c>
      <x:c r="J37" s="14" t="str">
        <x:v>只允许交换一次；不增加、移除或复制模块。</x:v>
      </x:c>
      <x:c r="K37" s="41" t="str">
        <x:v>新增设计</x:v>
      </x:c>
      <x:c r="L37" s="14" t="str">
        <x:v>重点实测</x:v>
      </x:c>
      <x:c r="M37" s="14" t="str">
        <x:v>使装配后的模块顺序仍可修正，并奖励真正激活位置模块，而非无条件抽牌。</x:v>
      </x:c>
      <x:c r="N37" s="14" t="str">
        <x:v>实现层需要比较交换前后的动态位置条件集合。</x:v>
      </x:c>
    </x:row>
    <x:row r="38">
      <x:c r="A38" s="14" t="str">
        <x:v>总装师-奖励功能牌</x:v>
      </x:c>
      <x:c r="B38" s="14" t="str">
        <x:v>退料器</x:v>
      </x:c>
      <x:c r="C38" s="14" t="str">
        <x:v>MaterialEjector</x:v>
      </x:c>
      <x:c r="D38" s="14" t="str">
        <x:v>1</x:v>
      </x:c>
      <x:c r="E38" s="14" t="str">
        <x:v>技能</x:v>
      </x:c>
      <x:c r="F38" s="14" t="str">
        <x:v>罕见</x:v>
      </x:c>
      <x:c r="G38" s="14" t="str">
        <x:v>局部拆解；首尾回收；消耗</x:v>
      </x:c>
      <x:c r="H38" s="14" t="str">
        <x:v>选择1个产物的首模块或末模块，将对应零件返回手牌。取回首模块时抽1张牌；取回末模块时使返回零件本回合费用变为0。产物最大耐久降低1。</x:v>
      </x:c>
      <x:c r="I38" s="14" t="str">
        <x:v>移除消耗</x:v>
      </x:c>
      <x:c r="J38" s="14" t="str">
        <x:v>最大耐久最低为1；当前耐久不得超过新的最大耐久。</x:v>
      </x:c>
      <x:c r="K38" s="41" t="str">
        <x:v>新增设计</x:v>
      </x:c>
      <x:c r="L38" s="14" t="str">
        <x:v>重点实测</x:v>
      </x:c>
      <x:c r="M38" s="14" t="str">
        <x:v>首端回收偏运转，末端回收偏爆发，让退料方向成为实质决策。</x:v>
      </x:c>
      <x:c r="N38" s="14" t="str">
        <x:v>结构模块移除后需重新计算最大耐久和免损标记。</x:v>
      </x:c>
    </x:row>
    <x:row r="39">
      <x:c r="A39" s="14" t="str">
        <x:v>总装师-奖励功能牌</x:v>
      </x:c>
      <x:c r="B39" s="14" t="str">
        <x:v>二次投料</x:v>
      </x:c>
      <x:c r="C39" s="14" t="str">
        <x:v>SecondaryFeeding</x:v>
      </x:c>
      <x:c r="D39" s="14" t="str">
        <x:v>1</x:v>
      </x:c>
      <x:c r="E39" s="14" t="str">
        <x:v>技能</x:v>
      </x:c>
      <x:c r="F39" s="14" t="str">
        <x:v>罕见</x:v>
      </x:c>
      <x:c r="G39" s="14" t="str">
        <x:v>弃牌回流；顺序铺设；消耗</x:v>
      </x:c>
      <x:c r="H39" s="14" t="str">
        <x:v>从弃牌堆选择至多2张零件，按指定左右顺序放到抽牌堆顶。若选择了攻击与技能各1张，抽1张牌。</x:v>
      </x:c>
      <x:c r="I39" s="14" t="str">
        <x:v>可选择至多3张；若首尾卡牌类型不同，再抽1张</x:v>
      </x:c>
      <x:c r="J39" s="14" t="str">
        <x:v>不能选择已位于产物中的零件。</x:v>
      </x:c>
      <x:c r="K39" s="41" t="str">
        <x:v>新增设计</x:v>
      </x:c>
      <x:c r="L39" s="14" t="str">
        <x:v>重点实测</x:v>
      </x:c>
      <x:c r="M39" s="14" t="str">
        <x:v>不仅回收零件，还预先安排它们进入手牌的相对顺序，并奖励混合类型生产线。</x:v>
      </x:c>
      <x:c r="N39" s="14" t="str">
        <x:v>需要确保牌堆顶顺序与界面显示一致。</x:v>
      </x:c>
    </x:row>
    <x:row r="40">
      <x:c r="A40" s="14" t="str">
        <x:v>总装师-能力牌</x:v>
      </x:c>
      <x:c r="B40" s="14" t="str">
        <x:v>联锁工位</x:v>
      </x:c>
      <x:c r="C40" s="14" t="str">
        <x:v>InterlockStation</x:v>
      </x:c>
      <x:c r="D40" s="14" t="str">
        <x:v>1</x:v>
      </x:c>
      <x:c r="E40" s="14" t="str">
        <x:v>能力</x:v>
      </x:c>
      <x:c r="F40" s="14" t="str">
        <x:v>罕见</x:v>
      </x:c>
      <x:c r="G40" s="14" t="str">
        <x:v>首尾类型；混合生产</x:v>
      </x:c>
      <x:c r="H40" s="14" t="str">
        <x:v>每回合第一次装配出首模块与末模块卡牌类型不同的产物时，抽1张牌。若存在至少1个中间模块，再获得4格挡。</x:v>
      </x:c>
      <x:c r="I40" s="14" t="str">
        <x:v>每回合前两次满足条件时触发</x:v>
      </x:c>
      <x:c r="J40" s="14" t="str">
        <x:v>只比较攻击与技能类型；状态废料模块不计入类型比较。</x:v>
      </x:c>
      <x:c r="K40" s="41" t="str">
        <x:v>新增设计</x:v>
      </x:c>
      <x:c r="L40" s="14" t="str">
        <x:v>重点实测</x:v>
      </x:c>
      <x:c r="M40" s="14" t="str">
        <x:v>奖励首尾异型和三模块以上产物，避免只堆叠同类输出零件。</x:v>
      </x:c>
      <x:c r="N40" s="14" t="str">
        <x:v>多个副本按副本分别触发，但每个副本拥有独立的每回合次数。</x:v>
      </x:c>
    </x:row>
    <x:row r="41">
      <x:c r="A41" s="14" t="str">
        <x:v>总装师-奖励功能牌</x:v>
      </x:c>
      <x:c r="B41" s="14" t="str">
        <x:v>补料指令</x:v>
      </x:c>
      <x:c r="C41" s="14" t="str">
        <x:v>ReplenishmentOrder</x:v>
      </x:c>
      <x:c r="D41" s="14" t="str">
        <x:v>1</x:v>
      </x:c>
      <x:c r="E41" s="14" t="str">
        <x:v>技能</x:v>
      </x:c>
      <x:c r="F41" s="14" t="str">
        <x:v>罕见</x:v>
      </x:c>
      <x:c r="G41" s="14" t="str">
        <x:v>装配后；产物手牌位置；补满手牌；消耗</x:v>
      </x:c>
      <x:c r="H41" s="14" t="str">
        <x:v>只能在本回合已装配后使用。若最新产物位于手牌最左侧，抽至5张；若位于最右侧，抽至4张并获得1能量；否则抽2张。</x:v>
      </x:c>
      <x:c r="I41" s="14" t="str">
        <x:v>左侧抽至6张；右侧抽至5张并获得1能量；中间抽3张</x:v>
      </x:c>
      <x:c r="J41" s="14" t="str">
        <x:v>以最新完成装配的产物当前所在位置判定。</x:v>
      </x:c>
      <x:c r="K41" s="41" t="str">
        <x:v>新增设计</x:v>
      </x:c>
      <x:c r="L41" s="14" t="str">
        <x:v>高风险实测</x:v>
      </x:c>
      <x:c r="M41" s="14" t="str">
        <x:v>装配前需要规划产物落点：左端提供最大补牌，右端提供能量，中间提供稳定收益。</x:v>
      </x:c>
      <x:c r="N41" s="14" t="str">
        <x:v>与任意重排组合可能过强，建议每回合只能打出1张补料指令。</x:v>
      </x:c>
    </x:row>
    <x:row r="42">
      <x:c r="A42" s="14" t="str">
        <x:v>总装师-能力牌</x:v>
      </x:c>
      <x:c r="B42" s="14" t="str">
        <x:v>模块回流</x:v>
      </x:c>
      <x:c r="C42" s="14" t="str">
        <x:v>ModuleRecirculation</x:v>
      </x:c>
      <x:c r="D42" s="14" t="str">
        <x:v>2</x:v>
      </x:c>
      <x:c r="E42" s="14" t="str">
        <x:v>能力</x:v>
      </x:c>
      <x:c r="F42" s="14" t="str">
        <x:v>稀有</x:v>
      </x:c>
      <x:c r="G42" s="14" t="str">
        <x:v>故障触发；首尾回收</x:v>
      </x:c>
      <x:c r="H42" s="14" t="str">
        <x:v>每回合第一次产物变为故障时，选择其首模块或末模块返回手牌。回收首模块时抽1张牌；回收末模块时恢复该产物1点耐久。随后从产物移除该模块。</x:v>
      </x:c>
      <x:c r="I42" s="14" t="str">
        <x:v>费用2→1</x:v>
      </x:c>
      <x:c r="J42" s="14" t="str">
        <x:v>若移除后产物没有模块则消耗该产物；恢复耐久发生在重新计算结构模块之后。</x:v>
      </x:c>
      <x:c r="K42" s="41" t="str">
        <x:v>新增设计</x:v>
      </x:c>
      <x:c r="L42" s="14" t="str">
        <x:v>高风险实测</x:v>
      </x:c>
      <x:c r="M42" s="14" t="str">
        <x:v>故障时首端偏零件回流，末端偏维持产物寿命，产物结构会逐次缩短。</x:v>
      </x:c>
      <x:c r="N42" s="14" t="str">
        <x:v>需测试末端回收自修复核心、强化框架等结构模块的结算顺序。</x:v>
      </x:c>
    </x:row>
    <x:row r="43">
      <x:c r="A43" s="14" t="str">
        <x:v>总装师-奖励功能牌</x:v>
      </x:c>
      <x:c r="B43" s="14" t="str">
        <x:v>整线重排</x:v>
      </x:c>
      <x:c r="C43" s="14" t="str">
        <x:v>FullLineRearrangement</x:v>
      </x:c>
      <x:c r="D43" s="14" t="str">
        <x:v>1</x:v>
      </x:c>
      <x:c r="E43" s="14" t="str">
        <x:v>技能</x:v>
      </x:c>
      <x:c r="F43" s="14" t="str">
        <x:v>稀有</x:v>
      </x:c>
      <x:c r="G43" s="14" t="str">
        <x:v>全手牌排序；相邻对；端点奖励；消耗</x:v>
      </x:c>
      <x:c r="H43" s="14" t="str">
        <x:v>任意重新排列全部手牌。每形成1组相邻零件抽1张，最多3张；若最左与最右都是零件，再获得1能量。</x:v>
      </x:c>
      <x:c r="I43" s="14" t="str">
        <x:v>费用1→0</x:v>
      </x:c>
      <x:c r="J43" s="14" t="str">
        <x:v>相邻对允许重叠；例如4张连续零件形成3组。</x:v>
      </x:c>
      <x:c r="K43" s="41" t="str">
        <x:v>新增设计</x:v>
      </x:c>
      <x:c r="L43" s="14" t="str">
        <x:v>高风险实测</x:v>
      </x:c>
      <x:c r="M43" s="14" t="str">
        <x:v>把整手牌布局直接转换为抽牌和能量，同时服务送料器、侧翼护板和装配。</x:v>
      </x:c>
      <x:c r="N43" s="14" t="str">
        <x:v>与批次标签、补料指令组合时重点检查单回合手牌与能量循环。</x:v>
      </x:c>
    </x:row>
    <x:row r="44">
      <x:c r="A44" s="14" t="str">
        <x:v>总装师-生成状态</x:v>
      </x:c>
      <x:c r="B44" s="14" t="str">
        <x:v>生物废料</x:v>
      </x:c>
      <x:c r="C44" s="14" t="str">
        <x:v>BiologicalScrap</x:v>
      </x:c>
      <x:c r="D44" s="14" t="str">
        <x:v>0</x:v>
      </x:c>
      <x:c r="E44" s="14" t="str">
        <x:v>状态</x:v>
      </x:c>
      <x:c r="F44" s="14" t="str">
        <x:v>状态</x:v>
      </x:c>
      <x:c r="G44" s="14" t="str">
        <x:v>废料；生物；无法打出</x:v>
      </x:c>
      <x:c r="H44" s="14" t="str">
        <x:v>无法打出；占据手牌位置。被“处理”时消耗，并在原手牌位置生成1张次级能量储罐。</x:v>
      </x:c>
      <x:c r="I44" s="14" t="str">
        <x:v>不可升级</x:v>
      </x:c>
      <x:c r="J44" s="14" t="str">
        <x:v>回合结束进入弃牌堆；普通消耗、熔炼或拆用不会生成次级能量储罐。</x:v>
      </x:c>
      <x:c r="K44" s="104" t="str">
        <x:v>废料双体系核心</x:v>
      </x:c>
      <x:c r="L44" s="14" t="str">
        <x:v>重点实测</x:v>
      </x:c>
      <x:c r="M44" s="14" t="str">
        <x:v>生物废料提供能量回收，因此其生成量与免费处理手段必须明显少于机械废料。</x:v>
      </x:c>
      <x:c r="N44" s="14" t="str">
        <x:v>初期主要由生物类零件生成；每次处理只生成1张次级能量储罐。</x:v>
      </x:c>
    </x:row>
    <x:row r="45">
      <x:c r="A45" s="14" t="str">
        <x:v>总装师-生成临时牌</x:v>
      </x:c>
      <x:c r="B45" s="14" t="str">
        <x:v>次级传送带</x:v>
      </x:c>
      <x:c r="C45" s="14" t="str">
        <x:v>SecondaryConveyor</x:v>
      </x:c>
      <x:c r="D45" s="14" t="str">
        <x:v>0</x:v>
      </x:c>
      <x:c r="E45" s="14" t="str">
        <x:v>技能</x:v>
      </x:c>
      <x:c r="F45" s="14" t="str">
        <x:v>状态</x:v>
      </x:c>
      <x:c r="G45" s="14" t="str">
        <x:v>次级产物；抽牌；消耗；虚无；不可装配</x:v>
      </x:c>
      <x:c r="H45" s="14" t="str">
        <x:v>抽1张牌。消耗。虚无。不能作为零件参与装配。</x:v>
      </x:c>
      <x:c r="I45" s="14" t="str">
        <x:v>不可升级</x:v>
      </x:c>
      <x:c r="J45" s="14" t="str">
        <x:v>由处理机械废料生成，并替换废料原本的手牌位置。</x:v>
      </x:c>
      <x:c r="K45" s="104" t="str">
        <x:v>废料双体系核心</x:v>
      </x:c>
      <x:c r="L45" s="14" t="str">
        <x:v>重点实测</x:v>
      </x:c>
      <x:c r="M45" s="14" t="str">
        <x:v>机械废料处理的收益是恢复牌组运转，单独使用不会产生净卡差。</x:v>
      </x:c>
      <x:c r="N45" s="14" t="str">
        <x:v>复制与回收规则按普通临时技能处理，但禁止装配。</x:v>
      </x:c>
    </x:row>
    <x:row r="46">
      <x:c r="A46" s="14" t="str">
        <x:v>总装师-生成临时牌</x:v>
      </x:c>
      <x:c r="B46" s="14" t="str">
        <x:v>次级能量储罐</x:v>
      </x:c>
      <x:c r="C46" s="14" t="str">
        <x:v>SecondaryEnergyTank</x:v>
      </x:c>
      <x:c r="D46" s="14" t="str">
        <x:v>0</x:v>
      </x:c>
      <x:c r="E46" s="14" t="str">
        <x:v>技能</x:v>
      </x:c>
      <x:c r="F46" s="14" t="str">
        <x:v>状态</x:v>
      </x:c>
      <x:c r="G46" s="14" t="str">
        <x:v>次级产物；能量；消耗；虚无；不可装配</x:v>
      </x:c>
      <x:c r="H46" s="14" t="str">
        <x:v>获得1点能量。消耗。虚无。不能作为零件参与装配。</x:v>
      </x:c>
      <x:c r="I46" s="14" t="str">
        <x:v>不可升级</x:v>
      </x:c>
      <x:c r="J46" s="14" t="str">
        <x:v>由处理生物废料生成，并替换废料原本的手牌位置。</x:v>
      </x:c>
      <x:c r="K46" s="104" t="str">
        <x:v>废料双体系核心</x:v>
      </x:c>
      <x:c r="L46" s="14" t="str">
        <x:v>高风险实测</x:v>
      </x:c>
      <x:c r="M46" s="14" t="str">
        <x:v>生物废料处理会用手牌资源换取能量，可能与0费装配和抽牌模块形成爆发循环。</x:v>
      </x:c>
      <x:c r="N46" s="14" t="str">
        <x:v>禁止作为零件；所有额外能量增幅优先采用每回合首次限制。</x:v>
      </x:c>
    </x:row>
    <x:row r="47">
      <x:c r="A47" s="14" t="str">
        <x:v>总装师-废料功能牌</x:v>
      </x:c>
      <x:c r="B47" s="14" t="str">
        <x:v>端点回收</x:v>
      </x:c>
      <x:c r="C47" s="14" t="str">
        <x:v>EndpointRecovery</x:v>
      </x:c>
      <x:c r="D47" s="14" t="str">
        <x:v>0</x:v>
      </x:c>
      <x:c r="E47" s="14" t="str">
        <x:v>技能</x:v>
      </x:c>
      <x:c r="F47" s="14" t="str">
        <x:v>普通</x:v>
      </x:c>
      <x:c r="G47" s="14" t="str">
        <x:v>处理；手牌双端；消耗</x:v>
      </x:c>
      <x:c r="H47" s="14" t="str">
        <x:v>若手牌最左侧为机械废料，处理它；若最右侧为生物废料，处理它。可以同时处理两张。</x:v>
      </x:c>
      <x:c r="I47" s="14" t="str">
        <x:v>改为处理手牌最左与最右的任意废料</x:v>
      </x:c>
      <x:c r="J47" s="14" t="str">
        <x:v>基础版建立“机械靠左、生物靠右”的废料布局语言。</x:v>
      </x:c>
      <x:c r="K47" s="104" t="str">
        <x:v>新增废料牌</x:v>
      </x:c>
      <x:c r="L47" s="14" t="str">
        <x:v>重点实测</x:v>
      </x:c>
      <x:c r="M47" s="14" t="str">
        <x:v>与废料分拣的任意选取不同，端点回收要求提前把两类废料布置到正确边缘。</x:v>
      </x:c>
      <x:c r="N47" s="14" t="str">
        <x:v>先处理左端再处理右端；若只有一端满足也可以打出。</x:v>
      </x:c>
    </x:row>
    <x:row r="48">
      <x:c r="A48" s="14" t="str">
        <x:v>总装师-废料零件</x:v>
      </x:c>
      <x:c r="B48" s="14" t="str">
        <x:v>切屑喷射</x:v>
      </x:c>
      <x:c r="C48" s="14" t="str">
        <x:v>ChipEjection</x:v>
      </x:c>
      <x:c r="D48" s="14" t="str">
        <x:v>1</x:v>
      </x:c>
      <x:c r="E48" s="14" t="str">
        <x:v>攻击</x:v>
      </x:c>
      <x:c r="F48" s="14" t="str">
        <x:v>普通</x:v>
      </x:c>
      <x:c r="G48" s="14" t="str">
        <x:v>零件；机械废料右邻接；伤害模块6</x:v>
      </x:c>
      <x:c r="H48" s="14" t="str">
        <x:v>造成7点伤害。若右侧相邻为机械废料，处理它并额外造成4点伤害。模块：造成6点伤害。</x:v>
      </x:c>
      <x:c r="I48" s="14" t="str">
        <x:v>基础伤害7→10；额外4→5；模块6→8</x:v>
      </x:c>
      <x:c r="J48" s="14" t="str">
        <x:v>只能处理右侧机械废料，不能处理生物废料。</x:v>
      </x:c>
      <x:c r="K48" s="104" t="str">
        <x:v>新增废料牌</x:v>
      </x:c>
      <x:c r="L48" s="14" t="str">
        <x:v>重点实测</x:v>
      </x:c>
      <x:c r="M48" s="14" t="str">
        <x:v>把机械废料放在攻击牌右侧可同时获得清废、过牌部件和额外伤害。</x:v>
      </x:c>
      <x:c r="N48" s="14" t="str">
        <x:v>额外伤害与处理均在基础伤害之后结算。</x:v>
      </x:c>
    </x:row>
    <x:row r="49">
      <x:c r="A49" s="14" t="str">
        <x:v>总装师-废料零件</x:v>
      </x:c>
      <x:c r="B49" s="14" t="str">
        <x:v>培养舱</x:v>
      </x:c>
      <x:c r="C49" s="14" t="str">
        <x:v>CultureChamber</x:v>
      </x:c>
      <x:c r="D49" s="14" t="str">
        <x:v>1</x:v>
      </x:c>
      <x:c r="E49" s="14" t="str">
        <x:v>技能</x:v>
      </x:c>
      <x:c r="F49" s="14" t="str">
        <x:v>普通</x:v>
      </x:c>
      <x:c r="G49" s="14" t="str">
        <x:v>零件；生物废料来源；格挡模块6；使用后模块</x:v>
      </x:c>
      <x:c r="H49" s="14" t="str">
        <x:v>获得7点格挡，将1张生物废料加入弃牌堆。模块：获得6点格挡；产物使用后将1张生物废料加入弃牌堆。</x:v>
      </x:c>
      <x:c r="I49" s="14" t="str">
        <x:v>格挡7→10；模块6→8</x:v>
      </x:c>
      <x:c r="J49" s="14" t="str">
        <x:v>耐久产物每次使用都会产生生物废料。</x:v>
      </x:c>
      <x:c r="K49" s="104" t="str">
        <x:v>新增废料牌</x:v>
      </x:c>
      <x:c r="L49" s="14" t="str">
        <x:v>高风险实测</x:v>
      </x:c>
      <x:c r="M49" s="14" t="str">
        <x:v>生物废料的基础来源，同时让玩家用未来的牌库污染换取当前防御。</x:v>
      </x:c>
      <x:c r="N49" s="14" t="str">
        <x:v>使用后生成发生在扣除耐久之后；产物被消耗时仍会生成。</x:v>
      </x:c>
    </x:row>
    <x:row r="50">
      <x:c r="A50" s="14" t="str">
        <x:v>总装师-废料零件</x:v>
      </x:c>
      <x:c r="B50" s="14" t="str">
        <x:v>代谢泵</x:v>
      </x:c>
      <x:c r="C50" s="14" t="str">
        <x:v>MetabolicPump</x:v>
      </x:c>
      <x:c r="D50" s="14" t="str">
        <x:v>1</x:v>
      </x:c>
      <x:c r="E50" s="14" t="str">
        <x:v>技能</x:v>
      </x:c>
      <x:c r="F50" s="14" t="str">
        <x:v>普通</x:v>
      </x:c>
      <x:c r="G50" s="14" t="str">
        <x:v>零件；生物废料相邻；格挡模块5</x:v>
      </x:c>
      <x:c r="H50" s="14" t="str">
        <x:v>获得4点格挡。处理左右两侧各至多1张生物废料；每处理1张，再获得3点格挡。模块：获得5点格挡。</x:v>
      </x:c>
      <x:c r="I50" s="14" t="str">
        <x:v>基础格挡4→6；每张3→4；模块5→7</x:v>
      </x:c>
      <x:c r="J50" s="14" t="str">
        <x:v>没有相邻生物废料时仍可作为低效格挡牌使用。</x:v>
      </x:c>
      <x:c r="K50" s="104" t="str">
        <x:v>新增废料牌</x:v>
      </x:c>
      <x:c r="L50" s="14" t="str">
        <x:v>重点实测</x:v>
      </x:c>
      <x:c r="M50" s="14" t="str">
        <x:v>生物废料处理牌以手牌和位置为成本，把能量回收与防御绑定。</x:v>
      </x:c>
      <x:c r="N50" s="14" t="str">
        <x:v>处理顺序为左后右；生成储罐保持位置。</x:v>
      </x:c>
    </x:row>
    <x:row r="51">
      <x:c r="A51" s="14" t="str">
        <x:v>总装师-废料功能牌</x:v>
      </x:c>
      <x:c r="B51" s="14" t="str">
        <x:v>极性分选</x:v>
      </x:c>
      <x:c r="C51" s="14" t="str">
        <x:v>PolaritySorting</x:v>
      </x:c>
      <x:c r="D51" s="14" t="str">
        <x:v>0</x:v>
      </x:c>
      <x:c r="E51" s="14" t="str">
        <x:v>技能</x:v>
      </x:c>
      <x:c r="F51" s="14" t="str">
        <x:v>普通</x:v>
      </x:c>
      <x:c r="G51" s="14" t="str">
        <x:v>机械与生物；交换位置；抽牌；消耗</x:v>
      </x:c>
      <x:c r="H51" s="14" t="str">
        <x:v>选择手牌中的1张机械废料和1张生物废料，交换它们的位置。抽1张牌。</x:v>
      </x:c>
      <x:c r="I51" s="14" t="str">
        <x:v>移除消耗</x:v>
      </x:c>
      <x:c r="J51" s="14" t="str">
        <x:v>必须同时存在两类废料；不处理废料。</x:v>
      </x:c>
      <x:c r="K51" s="104" t="str">
        <x:v>新增废料牌</x:v>
      </x:c>
      <x:c r="L51" s="14" t="str">
        <x:v>重点实测</x:v>
      </x:c>
      <x:c r="M51" s="14" t="str">
        <x:v>用于修正两种废料的左右布局、制造机生耦合器夹持或准备端点回收。</x:v>
      </x:c>
      <x:c r="N51" s="14" t="str">
        <x:v>交换后其他卡牌相对顺序不变。</x:v>
      </x:c>
    </x:row>
    <x:row r="52">
      <x:c r="A52" s="14" t="str">
        <x:v>总装师-废料功能牌</x:v>
      </x:c>
      <x:c r="B52" s="14" t="str">
        <x:v>双路回收</x:v>
      </x:c>
      <x:c r="C52" s="14" t="str">
        <x:v>DualStreamRecovery</x:v>
      </x:c>
      <x:c r="D52" s="14" t="str">
        <x:v>1</x:v>
      </x:c>
      <x:c r="E52" s="14" t="str">
        <x:v>技能</x:v>
      </x:c>
      <x:c r="F52" s="14" t="str">
        <x:v>罕见</x:v>
      </x:c>
      <x:c r="G52" s="14" t="str">
        <x:v>处理；机械与生物；消耗</x:v>
      </x:c>
      <x:c r="H52" s="14" t="str">
        <x:v>处理至多1张机械废料和至多1张生物废料。若两种都处理，抽1张牌。</x:v>
      </x:c>
      <x:c r="I52" s="14" t="str">
        <x:v>费用1→0</x:v>
      </x:c>
      <x:c r="J52" s="14" t="str">
        <x:v>可以只处理其中一种；两种目标不要求相邻。</x:v>
      </x:c>
      <x:c r="K52" s="104" t="str">
        <x:v>新增废料牌</x:v>
      </x:c>
      <x:c r="L52" s="14" t="str">
        <x:v>高风险实测</x:v>
      </x:c>
      <x:c r="M52" s="14" t="str">
        <x:v>一次同时获得过牌部件与能量部件，是混合废料构筑的核心爆发牌。</x:v>
      </x:c>
      <x:c r="N52" s="14" t="str">
        <x:v>按手牌从左到右处理；升级后重点检查能量循环。</x:v>
      </x:c>
    </x:row>
    <x:row r="53">
      <x:c r="A53" s="14" t="str">
        <x:v>总装师-废料功能牌</x:v>
      </x:c>
      <x:c r="B53" s="14" t="str">
        <x:v>机生耦合器</x:v>
      </x:c>
      <x:c r="C53" s="14" t="str">
        <x:v>MechBioCoupler</x:v>
      </x:c>
      <x:c r="D53" s="14" t="str">
        <x:v>1</x:v>
      </x:c>
      <x:c r="E53" s="14" t="str">
        <x:v>技能</x:v>
      </x:c>
      <x:c r="F53" s="14" t="str">
        <x:v>罕见</x:v>
      </x:c>
      <x:c r="G53" s="14" t="str">
        <x:v>处理；左右夹持；混合奖励</x:v>
      </x:c>
      <x:c r="H53" s="14" t="str">
        <x:v>处理与本牌相邻的1张废料。若左侧和右侧恰好分别为机械废料与生物废料，则改为处理两张，并额外抽1张、获得1点能量。</x:v>
      </x:c>
      <x:c r="I53" s="14" t="str">
        <x:v>费用1→0</x:v>
      </x:c>
      <x:c r="J53" s="14" t="str">
        <x:v>左右两种顺序均可触发混合奖励。</x:v>
      </x:c>
      <x:c r="K53" s="104" t="str">
        <x:v>新增废料牌</x:v>
      </x:c>
      <x:c r="L53" s="14" t="str">
        <x:v>高风险实测</x:v>
      </x:c>
      <x:c r="M53" s="14" t="str">
        <x:v>要求把两种废料夹在本牌两侧，以位置成本换取完整双路收益。</x:v>
      </x:c>
      <x:c r="N53" s="14" t="str">
        <x:v>混合奖励每次打出只触发一次；先处理左侧再处理右侧。</x:v>
      </x:c>
    </x:row>
    <x:row r="54">
      <x:c r="A54" s="14" t="str">
        <x:v>总装师-废料功能牌</x:v>
      </x:c>
      <x:c r="B54" s="14" t="str">
        <x:v>远程回收</x:v>
      </x:c>
      <x:c r="C54" s="14" t="str">
        <x:v>RemoteRecycling</x:v>
      </x:c>
      <x:c r="D54" s="14" t="str">
        <x:v>1</x:v>
      </x:c>
      <x:c r="E54" s="14" t="str">
        <x:v>技能</x:v>
      </x:c>
      <x:c r="F54" s="14" t="str">
        <x:v>罕见</x:v>
      </x:c>
      <x:c r="G54" s="14" t="str">
        <x:v>弃牌堆处理；次级产物定位；消耗</x:v>
      </x:c>
      <x:c r="H54" s="14" t="str">
        <x:v>从弃牌堆处理至多2张废料。机械废料生成的次级传送带加入手牌最左侧；生物废料生成的次级能量储罐加入手牌最右侧。</x:v>
      </x:c>
      <x:c r="I54" s="14" t="str">
        <x:v>至多2→3张</x:v>
      </x:c>
      <x:c r="J54" s="14" t="str">
        <x:v>这是允许在弃牌堆执行“处理”的例外卡牌。</x:v>
      </x:c>
      <x:c r="K54" s="104" t="str">
        <x:v>新增废料牌</x:v>
      </x:c>
      <x:c r="L54" s="14" t="str">
        <x:v>重点实测</x:v>
      </x:c>
      <x:c r="M54" s="14" t="str">
        <x:v>把已经污染弃牌堆的废料转化为当前回合资源，并明确安排两种次级产物的位置。</x:v>
      </x:c>
      <x:c r="N54" s="14" t="str">
        <x:v>处理顺序由玩家选择；超过手牌上限时未生成的次级产物直接消耗。</x:v>
      </x:c>
    </x:row>
    <x:row r="55">
      <x:c r="A55" s="14" t="str">
        <x:v>总装师-能力牌</x:v>
      </x:c>
      <x:c r="B55" s="14" t="str">
        <x:v>分类协议</x:v>
      </x:c>
      <x:c r="C55" s="14" t="str">
        <x:v>ClassificationProtocol</x:v>
      </x:c>
      <x:c r="D55" s="14" t="str">
        <x:v>2</x:v>
      </x:c>
      <x:c r="E55" s="14" t="str">
        <x:v>能力</x:v>
      </x:c>
      <x:c r="F55" s="14" t="str">
        <x:v>罕见</x:v>
      </x:c>
      <x:c r="G55" s="14" t="str">
        <x:v>首次机械处理；首次生物处理；次级强化</x:v>
      </x:c>
      <x:c r="H55" s="14" t="str">
        <x:v>每回合第一次处理机械废料时，该次生成的次级传送带改为抽2张；第一次处理生物废料时，该次生成的次级能量储罐改为获得2点能量。</x:v>
      </x:c>
      <x:c r="I55" s="14" t="str">
        <x:v>费用2→1</x:v>
      </x:c>
      <x:c r="J55" s="14" t="str">
        <x:v>两种首次次数分别记录；多张副本不增加首次次数。</x:v>
      </x:c>
      <x:c r="K55" s="104" t="str">
        <x:v>新增废料牌</x:v>
      </x:c>
      <x:c r="L55" s="14" t="str">
        <x:v>高风险实测</x:v>
      </x:c>
      <x:c r="M55" s="14" t="str">
        <x:v>让两类废料分别形成过牌爆发和能量爆发，但每回合各只强化一次。</x:v>
      </x:c>
      <x:c r="N55" s="14" t="str">
        <x:v>多张副本建议只取最高效果，避免首个生物废料产生过量能量。</x:v>
      </x:c>
    </x:row>
    <x:row r="56">
      <x:c r="A56" s="14" t="str">
        <x:v>总装师-废料功能牌</x:v>
      </x:c>
      <x:c r="B56" s="14" t="str">
        <x:v>就地回收</x:v>
      </x:c>
      <x:c r="C56" s="14" t="str">
        <x:v>LocalReclamation</x:v>
      </x:c>
      <x:c r="D56" s="14" t="str">
        <x:v>1</x:v>
      </x:c>
      <x:c r="E56" s="14" t="str">
        <x:v>技能</x:v>
      </x:c>
      <x:c r="F56" s="14" t="str">
        <x:v>罕见</x:v>
      </x:c>
      <x:c r="G56" s="14" t="str">
        <x:v>产物邻接；处理；维修</x:v>
      </x:c>
      <x:c r="H56" s="14" t="str">
        <x:v>选择手牌中的1个产物。处理其左右两侧各至多1张任意废料；每处理1张，维修该产物1点耐久。</x:v>
      </x:c>
      <x:c r="I56" s="14" t="str">
        <x:v>处理后令该产物本回合费用降低1</x:v>
      </x:c>
      <x:c r="J56" s="14" t="str">
        <x:v>必须至少存在1张与产物相邻的废料才能打出。</x:v>
      </x:c>
      <x:c r="K56" s="104" t="str">
        <x:v>新增废料牌</x:v>
      </x:c>
      <x:c r="L56" s="14" t="str">
        <x:v>重点实测</x:v>
      </x:c>
      <x:c r="M56" s="14" t="str">
        <x:v>把产物放在废料之间可同时完成清废和维修，让产物在手牌中的位置产生价值。</x:v>
      </x:c>
      <x:c r="N56" s="14" t="str">
        <x:v>先处理左侧再处理右侧，最后统一维修；不得超过最大耐久。</x:v>
      </x:c>
    </x:row>
    <x:row r="57">
      <x:c r="A57" s="14" t="str">
        <x:v>总装师-能力牌</x:v>
      </x:c>
      <x:c r="B57" s="14" t="str">
        <x:v>零废弃工厂</x:v>
      </x:c>
      <x:c r="C57" s="14" t="str">
        <x:v>ZeroWasteFactory</x:v>
      </x:c>
      <x:c r="D57" s="14" t="str">
        <x:v>2</x:v>
      </x:c>
      <x:c r="E57" s="14" t="str">
        <x:v>能力</x:v>
      </x:c>
      <x:c r="F57" s="14" t="str">
        <x:v>稀有</x:v>
      </x:c>
      <x:c r="G57" s="14" t="str">
        <x:v>装配后；产物邻接；自动处理</x:v>
      </x:c>
      <x:c r="H57" s="14" t="str">
        <x:v>每回合第一次装配后，若新产物左侧相邻为机械废料则处理它；若右侧相邻为生物废料则处理它。</x:v>
      </x:c>
      <x:c r="I57" s="14" t="str">
        <x:v>改为处理新产物左右两侧的任意废料，不再限制类型</x:v>
      </x:c>
      <x:c r="J57" s="14" t="str">
        <x:v>只检查装配完成后的相邻位置；产物放在所选最左零件原位置。</x:v>
      </x:c>
      <x:c r="K57" s="104" t="str">
        <x:v>新增废料牌</x:v>
      </x:c>
      <x:c r="L57" s="14" t="str">
        <x:v>高风险实测</x:v>
      </x:c>
      <x:c r="M57" s="14" t="str">
        <x:v>玩家可以在装配前布置废料，使产物落点自动启动两种回收线。</x:v>
      </x:c>
      <x:c r="N57" s="14" t="str">
        <x:v>基础版左机械右生物形成清晰布局规则；每回合仅触发一次。</x:v>
      </x:c>
    </x:row>
    <x:row r="58">
      <x:c r="A58" s="14" t="str">
        <x:v>总装师-能力牌</x:v>
      </x:c>
      <x:c r="B58" s="14" t="str">
        <x:v>异质增殖</x:v>
      </x:c>
      <x:c r="C58" s="14" t="str">
        <x:v>HeterogeneousGrowth</x:v>
      </x:c>
      <x:c r="D58" s="14" t="str">
        <x:v>2</x:v>
      </x:c>
      <x:c r="E58" s="14" t="str">
        <x:v>能力</x:v>
      </x:c>
      <x:c r="F58" s="14" t="str">
        <x:v>稀有</x:v>
      </x:c>
      <x:c r="G58" s="14" t="str">
        <x:v>混合处理；产能成长；每回合首次</x:v>
      </x:c>
      <x:c r="H58" s="14" t="str">
        <x:v>每回合第一次同时满足“本回合已处理机械废料”和“本回合已处理生物废料”时，获得1层产能。每层产能使产物的伤害与格挡输出模块数值+1。</x:v>
      </x:c>
      <x:c r="I58" s="14" t="str">
        <x:v>费用2→1；触发时再抽1张牌</x:v>
      </x:c>
      <x:c r="J58" s="14" t="str">
        <x:v>产能仅在本场战斗持续；修饰、抽牌、能量和结构模块不受影响。</x:v>
      </x:c>
      <x:c r="K58" s="104" t="str">
        <x:v>新增废料牌</x:v>
      </x:c>
      <x:c r="L58" s="14" t="str">
        <x:v>高风险实测</x:v>
      </x:c>
      <x:c r="M58" s="14" t="str">
        <x:v>为混合废料构筑提供长期成长，避免废料路线只有清理和资源转换而缺少终结能力。</x:v>
      </x:c>
      <x:c r="N58" s="14" t="str">
        <x:v>每回合最多获得1层；模块数值在所有百分比修饰之前增加。</x:v>
      </x:c>
    </x:row>
    <x:row r="59">
      <x:c r="A59" s="14" t="str">
        <x:v>总装师-牌堆功能牌</x:v>
      </x:c>
      <x:c r="B59" s="14" t="str">
        <x:v>顶仓检视</x:v>
      </x:c>
      <x:c r="C59" s="14" t="str">
        <x:v>TopBinInspection</x:v>
      </x:c>
      <x:c r="D59" s="14" t="str">
        <x:v>0</x:v>
      </x:c>
      <x:c r="E59" s="14" t="str">
        <x:v>技能</x:v>
      </x:c>
      <x:c r="F59" s="14" t="str">
        <x:v>普通</x:v>
      </x:c>
      <x:c r="G59" s="14" t="str">
        <x:v>抽牌堆顶；零件检索；左端；消耗</x:v>
      </x:c>
      <x:c r="H59" s="14" t="str">
        <x:v>查看抽牌堆顶3张牌。可以选择其中1张零件加入手牌最左侧；其余牌保持原顺序放回。</x:v>
      </x:c>
      <x:c r="I59" s="14" t="str">
        <x:v>查看3→5张；选择的零件可放到手牌最左或最右</x:v>
      </x:c>
      <x:c r="J59" s="14" t="str">
        <x:v>没有零件时不取牌，但仍可查看；不允许重排其余卡牌。</x:v>
      </x:c>
      <x:c r="K59" s="111" t="str">
        <x:v>新增牌堆牌</x:v>
      </x:c>
      <x:c r="L59" s="14" t="str">
        <x:v>重点实测</x:v>
      </x:c>
      <x:c r="M59" s="14" t="str">
        <x:v>有限范围的零件检索，同时通过落入手牌左端为增压器、联轴器等前置组件准备位置。</x:v>
      </x:c>
      <x:c r="N59" s="14" t="str">
        <x:v>抽牌堆不足时查看全部；取牌后剩余牌顺序不变。</x:v>
      </x:c>
    </x:row>
    <x:row r="60">
      <x:c r="A60" s="14" t="str">
        <x:v>总装师-牌堆功能牌</x:v>
      </x:c>
      <x:c r="B60" s="14" t="str">
        <x:v>底仓吊运</x:v>
      </x:c>
      <x:c r="C60" s="14" t="str">
        <x:v>BottomBinHoist</x:v>
      </x:c>
      <x:c r="D60" s="14" t="str">
        <x:v>1</x:v>
      </x:c>
      <x:c r="E60" s="14" t="str">
        <x:v>技能</x:v>
      </x:c>
      <x:c r="F60" s="14" t="str">
        <x:v>普通</x:v>
      </x:c>
      <x:c r="G60" s="14" t="str">
        <x:v>抽牌堆底；右端；临时减费</x:v>
      </x:c>
      <x:c r="H60" s="14" t="str">
        <x:v>将抽牌堆最底部的牌加入手牌最右侧。若其为零件，本回合费用降低1。</x:v>
      </x:c>
      <x:c r="I60" s="14" t="str">
        <x:v>费用1→0</x:v>
      </x:c>
      <x:c r="J60" s="14" t="str">
        <x:v>抽牌堆为空且弃牌堆非空时，先正常洗牌，再取新抽牌堆底牌。</x:v>
      </x:c>
      <x:c r="K60" s="111" t="str">
        <x:v>新增牌堆牌</x:v>
      </x:c>
      <x:c r="L60" s="14" t="str">
        <x:v>重点实测</x:v>
      </x:c>
      <x:c r="M60" s="14" t="str">
        <x:v>让牌堆底部成为可规划资源，并天然服务手牌右端、末模块及补料指令。</x:v>
      </x:c>
      <x:c r="N60" s="14" t="str">
        <x:v>费用最低为0；临时减费在回合结束时清除。</x:v>
      </x:c>
    </x:row>
    <x:row r="61">
      <x:c r="A61" s="14" t="str">
        <x:v>总装师-装配牌</x:v>
      </x:c>
      <x:c r="B61" s="14" t="str">
        <x:v>顶层预装</x:v>
      </x:c>
      <x:c r="C61" s="14" t="str">
        <x:v>TopDeckPreassembly</x:v>
      </x:c>
      <x:c r="D61" s="14" t="str">
        <x:v>1</x:v>
      </x:c>
      <x:c r="E61" s="14" t="str">
        <x:v>技能</x:v>
      </x:c>
      <x:c r="F61" s="14" t="str">
        <x:v>罕见</x:v>
      </x:c>
      <x:c r="G61" s="14" t="str">
        <x:v>抽牌堆顶；直接装配；消耗；机械废料</x:v>
      </x:c>
      <x:c r="H61" s="14" t="str">
        <x:v>若抽牌堆顶2张牌均为零件，按从顶到底的顺序直接装配。生成1费2耐久产物并放入手牌最左侧；产生1张机械废料。</x:v>
      </x:c>
      <x:c r="I61" s="14" t="str">
        <x:v>改为查看抽牌堆顶3张，从中选择相邻的2张零件按原顺序装配</x:v>
      </x:c>
      <x:c r="J61" s="14" t="str">
        <x:v>未满足条件时不能打出；装配零件不进入手牌，也不触发抽牌。</x:v>
      </x:c>
      <x:c r="K61" s="111" t="str">
        <x:v>新增牌堆牌</x:v>
      </x:c>
      <x:c r="L61" s="14" t="str">
        <x:v>高风险实测</x:v>
      </x:c>
      <x:c r="M61" s="14" t="str">
        <x:v>将抽牌堆顺序直接转化为产品，顶仓检视、二次投料等卡牌可提前排布零件。</x:v>
      </x:c>
      <x:c r="N61" s="14" t="str">
        <x:v>升级版选中后，其余未选牌保持原相对顺序并留在抽牌堆顶。</x:v>
      </x:c>
    </x:row>
    <x:row r="62">
      <x:c r="A62" s="14" t="str">
        <x:v>总装师-能力牌</x:v>
      </x:c>
      <x:c r="B62" s="14" t="str">
        <x:v>先入先出</x:v>
      </x:c>
      <x:c r="C62" s="14" t="str">
        <x:v>FirstInFirstOut</x:v>
      </x:c>
      <x:c r="D62" s="14" t="str">
        <x:v>2</x:v>
      </x:c>
      <x:c r="E62" s="14" t="str">
        <x:v>能力</x:v>
      </x:c>
      <x:c r="F62" s="14" t="str">
        <x:v>稀有</x:v>
      </x:c>
      <x:c r="G62" s="14" t="str">
        <x:v>抽牌顺序；第一第二零件；手牌双端</x:v>
      </x:c>
      <x:c r="H62" s="14" t="str">
        <x:v>每回合抽到的第1张零件移动到手牌最左侧，第2张零件移动到手牌最右侧。第2张零件完成定位后，抽1张牌。</x:v>
      </x:c>
      <x:c r="I62" s="14" t="str">
        <x:v>费用2→1</x:v>
      </x:c>
      <x:c r="J62" s="14" t="str">
        <x:v>每回合只记录前两张抽到的零件；同时抽取多张牌时按实际抽取顺序结算。</x:v>
      </x:c>
      <x:c r="K62" s="111" t="str">
        <x:v>新增牌堆牌</x:v>
      </x:c>
      <x:c r="L62" s="14" t="str">
        <x:v>高风险实测</x:v>
      </x:c>
      <x:c r="M62" s="14" t="str">
        <x:v>把抽牌顺序自动转换为手牌双端布局，并在成功获得两张零件时补偿运转。</x:v>
      </x:c>
      <x:c r="N62" s="14" t="str">
        <x:v>生成牌和从弃牌堆直接取回的牌不算“抽到”；仅正常抽牌事件计数。</x:v>
      </x:c>
    </x:row>
    <x:row r="63">
      <x:c r="A63" s="14" t="str">
        <x:v>总装师-牌堆功能牌</x:v>
      </x:c>
      <x:c r="B63" s="14" t="str">
        <x:v>返工取件</x:v>
      </x:c>
      <x:c r="C63" s="14" t="str">
        <x:v>ReworkPickup</x:v>
      </x:c>
      <x:c r="D63" s="14" t="str">
        <x:v>1</x:v>
      </x:c>
      <x:c r="E63" s="14" t="str">
        <x:v>技能</x:v>
      </x:c>
      <x:c r="F63" s="14" t="str">
        <x:v>普通</x:v>
      </x:c>
      <x:c r="G63" s="14" t="str">
        <x:v>弃牌堆顶；最近零件；类型分流；消耗</x:v>
      </x:c>
      <x:c r="H63" s="14" t="str">
        <x:v>将弃牌堆中最近进入的1张零件加入手牌。攻击零件放到最左侧，技能零件放到最右侧。</x:v>
      </x:c>
      <x:c r="I63" s="14" t="str">
        <x:v>费用1→0</x:v>
      </x:c>
      <x:c r="J63" s="14" t="str">
        <x:v>只检索最近的零件，而不是任意选择；没有零件时不能打出。</x:v>
      </x:c>
      <x:c r="K63" s="111" t="str">
        <x:v>新增牌堆牌</x:v>
      </x:c>
      <x:c r="L63" s="14" t="str">
        <x:v>重点实测</x:v>
      </x:c>
      <x:c r="M63" s="14" t="str">
        <x:v>使最近打出或弃置的零件可快速返工，并根据牌型自动回到适合前置或末端的位置。</x:v>
      </x:c>
      <x:c r="N63" s="14" t="str">
        <x:v>从弃牌堆顶部向下寻找第一张零件；不改变跨过卡牌的顺序。</x:v>
      </x:c>
    </x:row>
    <x:row r="64">
      <x:c r="A64" s="14" t="str">
        <x:v>总装师-牌堆功能牌</x:v>
      </x:c>
      <x:c r="B64" s="14" t="str">
        <x:v>返工抽检</x:v>
      </x:c>
      <x:c r="C64" s="14" t="str">
        <x:v>ReworkInspection</x:v>
      </x:c>
      <x:c r="D64" s="14" t="str">
        <x:v>1</x:v>
      </x:c>
      <x:c r="E64" s="14" t="str">
        <x:v>技能</x:v>
      </x:c>
      <x:c r="F64" s="14" t="str">
        <x:v>罕见</x:v>
      </x:c>
      <x:c r="G64" s="14" t="str">
        <x:v>弃牌堆顶部窗口；返工选择；消耗</x:v>
      </x:c>
      <x:c r="H64" s="14" t="str">
        <x:v>查看弃牌堆最上方3张牌。选择其中1张零件加入手牌；若选择的是最上方那张，其本回合费用变为0。</x:v>
      </x:c>
      <x:c r="I64" s="14" t="str">
        <x:v>查看3→5张</x:v>
      </x:c>
      <x:c r="J64" s="14" t="str">
        <x:v>未选择的牌保持原弃牌顺序；选择的零件默认加入手牌最右侧。</x:v>
      </x:c>
      <x:c r="K64" s="111" t="str">
        <x:v>新增牌堆牌</x:v>
      </x:c>
      <x:c r="L64" s="14" t="str">
        <x:v>重点实测</x:v>
      </x:c>
      <x:c r="M64" s="14" t="str">
        <x:v>比返工取件提供更高选择权，但只有最近的零件能获得免费返工奖励。</x:v>
      </x:c>
      <x:c r="N64" s="14" t="str">
        <x:v>弃牌堆不足时查看全部；费用修改不影响战斗外基础费用。</x:v>
      </x:c>
    </x:row>
    <x:row r="65">
      <x:c r="A65" s="14" t="str">
        <x:v>总装师-牌堆功能牌</x:v>
      </x:c>
      <x:c r="B65" s="14" t="str">
        <x:v>逆流换仓</x:v>
      </x:c>
      <x:c r="C65" s="14" t="str">
        <x:v>ReverseBinExchange</x:v>
      </x:c>
      <x:c r="D65" s="14" t="str">
        <x:v>0</x:v>
      </x:c>
      <x:c r="E65" s="14" t="str">
        <x:v>技能</x:v>
      </x:c>
      <x:c r="F65" s="14" t="str">
        <x:v>罕见</x:v>
      </x:c>
      <x:c r="G65" s="14" t="str">
        <x:v>抽牌堆顶；弃牌堆顶；交换；抽牌；消耗</x:v>
      </x:c>
      <x:c r="H65" s="14" t="str">
        <x:v>交换抽牌堆顶牌与弃牌堆顶牌，然后抽1张牌。若抽到零件，可以将其移动到手牌最左或最右。</x:v>
      </x:c>
      <x:c r="I65" s="14" t="str">
        <x:v>移除消耗</x:v>
      </x:c>
      <x:c r="J65" s="14" t="str">
        <x:v>任一牌堆为空时不能打出；本牌在效果完全结算后才进入弃牌堆。</x:v>
      </x:c>
      <x:c r="K65" s="111" t="str">
        <x:v>新增牌堆牌</x:v>
      </x:c>
      <x:c r="L65" s="14" t="str">
        <x:v>重点实测</x:v>
      </x:c>
      <x:c r="M65" s="14" t="str">
        <x:v>把最近弃置的牌送入下一次抽取，同时把当前顶牌暂存到弃牌堆，兼具排产与返工。</x:v>
      </x:c>
      <x:c r="N65" s="14" t="str">
        <x:v>交换后抽取新的抽牌堆顶，也就是原弃牌堆顶牌。</x:v>
      </x:c>
    </x:row>
    <x:row r="66">
      <x:c r="A66" s="14" t="str">
        <x:v>总装师-能力牌</x:v>
      </x:c>
      <x:c r="B66" s="14" t="str">
        <x:v>返工总线</x:v>
      </x:c>
      <x:c r="C66" s="14" t="str">
        <x:v>ReworkBus</x:v>
      </x:c>
      <x:c r="D66" s="14" t="str">
        <x:v>2</x:v>
      </x:c>
      <x:c r="E66" s="14" t="str">
        <x:v>能力</x:v>
      </x:c>
      <x:c r="F66" s="14" t="str">
        <x:v>稀有</x:v>
      </x:c>
      <x:c r="G66" s="14" t="str">
        <x:v>弃牌堆回手；首次返工；减费；抽牌</x:v>
      </x:c>
      <x:c r="H66" s="14" t="str">
        <x:v>每回合第一次将零件从弃牌堆加入手牌时，抽1张牌，并使该零件本回合费用降低1。</x:v>
      </x:c>
      <x:c r="I66" s="14" t="str">
        <x:v>费用2→1</x:v>
      </x:c>
      <x:c r="J66" s="14" t="str">
        <x:v>只对明确从弃牌堆取回手牌的零件触发；洗牌后正常抽取不触发。</x:v>
      </x:c>
      <x:c r="K66" s="111" t="str">
        <x:v>新增牌堆牌</x:v>
      </x:c>
      <x:c r="L66" s="14" t="str">
        <x:v>高风险实测</x:v>
      </x:c>
      <x:c r="M66" s="14" t="str">
        <x:v>使返工取件、返工抽检等牌形成稳定运转核心，但每回合只强化一次。</x:v>
      </x:c>
      <x:c r="N66" s="14" t="str">
        <x:v>多张副本不增加触发次数；费用降低效果可以叠加其他临时减费。</x:v>
      </x:c>
    </x:row>
    <x:row r="67">
      <x:c r="A67" s="14" t="str">
        <x:v>总装师-牌堆功能牌</x:v>
      </x:c>
      <x:c r="B67" s="14" t="str">
        <x:v>封存样件</x:v>
      </x:c>
      <x:c r="C67" s="14" t="str">
        <x:v>ArchiveSample</x:v>
      </x:c>
      <x:c r="D67" s="14" t="str">
        <x:v>0</x:v>
      </x:c>
      <x:c r="E67" s="14" t="str">
        <x:v>技能</x:v>
      </x:c>
      <x:c r="F67" s="14" t="str">
        <x:v>普通</x:v>
      </x:c>
      <x:c r="G67" s="14" t="str">
        <x:v>消耗堆；边缘零件；抽牌；消耗</x:v>
      </x:c>
      <x:c r="H67" s="14" t="str">
        <x:v>选择位于手牌最左或最右的1张零件，将其消耗，然后抽2张牌。</x:v>
      </x:c>
      <x:c r="I67" s="14" t="str">
        <x:v>可以选择手牌任意位置的零件</x:v>
      </x:c>
      <x:c r="J67" s="14" t="str">
        <x:v>被封存零件保留升级状态和模块信息，可被蓝图类卡牌选择。</x:v>
      </x:c>
      <x:c r="K67" s="111" t="str">
        <x:v>新增牌堆牌</x:v>
      </x:c>
      <x:c r="L67" s="14" t="str">
        <x:v>重点实测</x:v>
      </x:c>
      <x:c r="M67" s="14" t="str">
        <x:v>主动把暂时不需要的边缘零件转化为运转，并为蓝图路线建立消耗堆资源。</x:v>
      </x:c>
      <x:c r="N67" s="14" t="str">
        <x:v>消耗零件不视为打出，也不触发其普通效果或模块。</x:v>
      </x:c>
    </x:row>
    <x:row r="68">
      <x:c r="A68" s="14" t="str">
        <x:v>总装师-牌堆功能牌</x:v>
      </x:c>
      <x:c r="B68" s="14" t="str">
        <x:v>蓝图调用</x:v>
      </x:c>
      <x:c r="C68" s="14" t="str">
        <x:v>BlueprintInvocation</x:v>
      </x:c>
      <x:c r="D68" s="14" t="str">
        <x:v>1</x:v>
      </x:c>
      <x:c r="E68" s="14" t="str">
        <x:v>技能</x:v>
      </x:c>
      <x:c r="F68" s="14" t="str">
        <x:v>罕见</x:v>
      </x:c>
      <x:c r="G68" s="14" t="str">
        <x:v>消耗堆零件；下一次装配；首尾模块；消耗</x:v>
      </x:c>
      <x:c r="H68" s="14" t="str">
        <x:v>选择消耗堆中的1张零件。本回合下一次装配时，将其模块复制到产物末端；该产物最大耐久降低1。</x:v>
      </x:c>
      <x:c r="I68" s="14" t="str">
        <x:v>可以选择将蓝图模块复制到产物首端或末端</x:v>
      </x:c>
      <x:c r="J68" s="14" t="str">
        <x:v>原零件留在消耗堆；复制模块继承来源卡牌类型和升级后的模块数值。</x:v>
      </x:c>
      <x:c r="K68" s="111" t="str">
        <x:v>新增牌堆牌</x:v>
      </x:c>
      <x:c r="L68" s="14" t="str">
        <x:v>高风险实测</x:v>
      </x:c>
      <x:c r="M68" s="14" t="str">
        <x:v>让消耗堆成为不占用手牌的额外模块来源，升级后首尾位置选择可改变前置、输出和后置关系。</x:v>
      </x:c>
      <x:c r="N68" s="14" t="str">
        <x:v>每次装配最多附加1个蓝图模块；最大耐久最低为1。</x:v>
      </x:c>
    </x:row>
    <x:row r="69">
      <x:c r="A69" s="14" t="str">
        <x:v>总装师-牌堆功能牌</x:v>
      </x:c>
      <x:c r="B69" s="14" t="str">
        <x:v>旧版复刻</x:v>
      </x:c>
      <x:c r="C69" s="14" t="str">
        <x:v>LegacyReplica</x:v>
      </x:c>
      <x:c r="D69" s="14" t="str">
        <x:v>1</x:v>
      </x:c>
      <x:c r="E69" s="14" t="str">
        <x:v>技能</x:v>
      </x:c>
      <x:c r="F69" s="14" t="str">
        <x:v>罕见</x:v>
      </x:c>
      <x:c r="G69" s="14" t="str">
        <x:v>消耗堆零件；临时复制；虚无；消耗</x:v>
      </x:c>
      <x:c r="H69" s="14" t="str">
        <x:v>选择消耗堆中的1张零件，将其临时复制品加入手牌最右侧。复制品本回合费用为0，并获得虚无与消耗。</x:v>
      </x:c>
      <x:c r="I69" s="14" t="str">
        <x:v>复制品可选择加入手牌最左或最右</x:v>
      </x:c>
      <x:c r="J69" s="14" t="str">
        <x:v>原零件仍留在消耗堆；复制品既可正常打出，也可参与装配。</x:v>
      </x:c>
      <x:c r="K69" s="111" t="str">
        <x:v>新增牌堆牌</x:v>
      </x:c>
      <x:c r="L69" s="14" t="str">
        <x:v>高风险实测</x:v>
      </x:c>
      <x:c r="M69" s="14" t="str">
        <x:v>提供一次性的旧零件返场，既可直接使用，也可通过正确端点再次进入生产线。</x:v>
      </x:c>
      <x:c r="N69" s="14" t="str">
        <x:v>复制品若参与装配，其原型仍为临时副本；战斗结束不返回永久牌组。</x:v>
      </x:c>
    </x:row>
    <x:row r="70">
      <x:c r="A70" s="14" t="str">
        <x:v>总装师-能力牌</x:v>
      </x:c>
      <x:c r="B70" s="14" t="str">
        <x:v>蓝图库</x:v>
      </x:c>
      <x:c r="C70" s="14" t="str">
        <x:v>BlueprintLibrary</x:v>
      </x:c>
      <x:c r="D70" s="14" t="str">
        <x:v>2</x:v>
      </x:c>
      <x:c r="E70" s="14" t="str">
        <x:v>能力</x:v>
      </x:c>
      <x:c r="F70" s="14" t="str">
        <x:v>稀有</x:v>
      </x:c>
      <x:c r="G70" s="14" t="str">
        <x:v>消耗堆；最近零件；首次装配；虚拟模块</x:v>
      </x:c>
      <x:c r="H70" s="14" t="str">
        <x:v>每回合第一次装配时，若消耗堆中存在零件，将最近被消耗的零件模块复制到产物末端；该产物最大耐久降低1。</x:v>
      </x:c>
      <x:c r="I70" s="14" t="str">
        <x:v>费用2→1</x:v>
      </x:c>
      <x:c r="J70" s="14" t="str">
        <x:v>不移除消耗堆中的零件；只能调用最近被消耗的零件，不能自由选择。</x:v>
      </x:c>
      <x:c r="K70" s="111" t="str">
        <x:v>新增牌堆牌</x:v>
      </x:c>
      <x:c r="L70" s="14" t="str">
        <x:v>高风险实测</x:v>
      </x:c>
      <x:c r="M70" s="14" t="str">
        <x:v>让封存顺序决定每回合自动追加的模块，把消耗堆变为持续的蓝图仓库。</x:v>
      </x:c>
      <x:c r="N70" s="14" t="str">
        <x:v>每回合最多触发一次；与蓝图调用同时生效时，先结算主动蓝图，再结算蓝图库。</x:v>
      </x:c>
    </x:row>
  </x:sheetData>
  <x:conditionalFormatting sqref="L2:L31">
    <x:cfRule type="expression" dxfId="0" priority="1">
      <x:formula>$L2="阻塞实现"</x:formula>
    </x:cfRule>
    <x:cfRule type="expression" dxfId="1" priority="2">
      <x:formula>$L2="需修改"</x:formula>
    </x:cfRule>
    <x:cfRule type="expression" dxfId="2" priority="3">
      <x:formula>$L2="需澄清"</x:formula>
    </x:cfRule>
    <x:cfRule type="expression" dxfId="3" priority="4">
      <x:formula>$L2="高风险实测"</x:formula>
    </x:cfRule>
    <x:cfRule type="expression" dxfId="4" priority="5">
      <x:formula>$L2="重点实测"</x:formula>
    </x:cfRule>
    <x:cfRule type="expression" dxfId="5" priority="6">
      <x:formula>$L2="通过"</x:formula>
    </x:cfRule>
  </x:conditionalFormatting>
  <x:conditionalFormatting sqref="L32:L43">
    <x:cfRule type="expression" dxfId="6" priority="7">
      <x:formula>$L32="高风险实测"</x:formula>
    </x:cfRule>
    <x:cfRule type="expression" dxfId="7" priority="8">
      <x:formula>$L32="重点实测"</x:formula>
    </x:cfRule>
  </x:conditionalFormatting>
  <x:conditionalFormatting sqref="L44:L58">
    <x:cfRule type="expression" dxfId="8" priority="9">
      <x:formula>$L44="高风险实测"</x:formula>
    </x:cfRule>
    <x:cfRule type="expression" dxfId="9" priority="10">
      <x:formula>$L44="重点实测"</x:formula>
    </x:cfRule>
  </x:conditionalFormatting>
  <x:conditionalFormatting sqref="L59:L70">
    <x:cfRule type="expression" dxfId="10" priority="11">
      <x:formula>$L59="高风险实测"</x:formula>
    </x:cfRule>
    <x:cfRule type="expression" dxfId="11" priority="12">
      <x:formula>$L59="重点实测"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2e4b86914a49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5" hidden="0" customWidth="1"/>
    <x:col min="4" max="4" width="62" hidden="0" customWidth="1"/>
    <x:col min="6" max="6" width="10" hidden="0" customWidth="1"/>
    <x:col min="7" max="7" width="22" hidden="0" customWidth="1"/>
    <x:col min="8" max="8" width="52" hidden="0" customWidth="1"/>
    <x:col min="9" max="9" width="58" hidden="0" customWidth="1"/>
    <x:col min="11" max="11" width="10" hidden="0" customWidth="1"/>
    <x:col min="12" max="12" width="22" hidden="0" customWidth="1"/>
    <x:col min="13" max="13" width="54" hidden="0" customWidth="1"/>
    <x:col min="14" max="14" width="60" hidden="0" customWidth="1"/>
    <x:col min="16" max="16" width="10" hidden="0" customWidth="1"/>
    <x:col min="17" max="17" width="24" hidden="0" customWidth="1"/>
    <x:col min="18" max="18" width="56" hidden="0" customWidth="1"/>
    <x:col min="19" max="19" width="62" hidden="0" customWidth="1"/>
  </x:cols>
  <x:sheetData>
    <x:row r="1">
      <x:c r="A1" s="19" t="str">
        <x:v>优先级</x:v>
      </x:c>
      <x:c r="B1" s="19" t="str">
        <x:v>全局问题</x:v>
      </x:c>
      <x:c r="C1" s="19" t="str">
        <x:v>审核结论</x:v>
      </x:c>
      <x:c r="D1" s="19" t="str">
        <x:v>建议规则</x:v>
      </x:c>
      <x:c r="F1" s="46" t="str">
        <x:v>优先级</x:v>
      </x:c>
      <x:c r="G1" s="46" t="str">
        <x:v>位置规则</x:v>
      </x:c>
      <x:c r="H1" s="46" t="str">
        <x:v>统一定义</x:v>
      </x:c>
      <x:c r="I1" s="46" t="str">
        <x:v>实现要求</x:v>
      </x:c>
      <x:c r="K1" s="68" t="str">
        <x:v>优先级</x:v>
      </x:c>
      <x:c r="L1" s="68" t="str">
        <x:v>废料规则</x:v>
      </x:c>
      <x:c r="M1" s="68" t="str">
        <x:v>统一定义</x:v>
      </x:c>
      <x:c r="N1" s="68" t="str">
        <x:v>实现要求</x:v>
      </x:c>
      <x:c r="P1" s="116" t="str">
        <x:v>优先级</x:v>
      </x:c>
      <x:c r="Q1" s="116" t="str">
        <x:v>牌堆规则</x:v>
      </x:c>
      <x:c r="R1" s="116" t="str">
        <x:v>统一定义</x:v>
      </x:c>
      <x:c r="S1" s="116" t="str">
        <x:v>实现要求</x:v>
      </x:c>
    </x:row>
    <x:row r="2">
      <x:c r="A2" s="12" t="str">
        <x:v>P0</x:v>
      </x:c>
      <x:c r="B2" s="12" t="str">
        <x:v>产物卡的类型和触发</x:v>
      </x:c>
      <x:c r="C2" s="12" t="str">
        <x:v>当前产物统一为技能牌，但内部可能包含攻击模块，容易与“打出攻击/技能”触发混淆。</x:v>
      </x:c>
      <x:c r="D2" s="12" t="str">
        <x:v>产物只触发一次其外层卡牌类型；内部模块不视为打出原零件。是否需要敌方目标由模块列表动态决定。</x:v>
      </x:c>
      <x:c r="F2" s="14" t="str">
        <x:v>P0</x:v>
      </x:c>
      <x:c r="G2" s="14" t="str">
        <x:v>打出前位置快照</x:v>
      </x:c>
      <x:c r="H2" s="14" t="str">
        <x:v>卡牌的位置条件在支付费用、卡牌离开手牌之前判定。</x:v>
      </x:c>
      <x:c r="I2" s="14" t="str">
        <x:v>记录当前索引、左右相邻卡牌、是否位于最左/最右；后续移动不追溯修改此次判定。</x:v>
      </x:c>
      <x:c r="K2" s="14" t="str">
        <x:v>P0</x:v>
      </x:c>
      <x:c r="L2" s="14" t="str">
        <x:v>废料类型</x:v>
      </x:c>
      <x:c r="M2" s="14" t="str">
        <x:v>废料分为机械废料和生物废料；“任意废料”同时包含两者。</x:v>
      </x:c>
      <x:c r="N2" s="14" t="str">
        <x:v>所有选择器必须支持按类型过滤，也必须允许通用废料选择。</x:v>
      </x:c>
      <x:c r="P2" s="14" t="str">
        <x:v>P0</x:v>
      </x:c>
      <x:c r="Q2" s="14" t="str">
        <x:v>抽牌堆顶与底</x:v>
      </x:c>
      <x:c r="R2" s="14" t="str">
        <x:v>顶牌为下一张正常抽取的牌；底牌为洗牌前最后抽取的牌。</x:v>
      </x:c>
      <x:c r="S2" s="14" t="str">
        <x:v>所有顶层查看、置顶、沉底和底仓效果必须保留未选卡的相对顺序。</x:v>
      </x:c>
    </x:row>
    <x:row r="3">
      <x:c r="A3" s="12" t="str">
        <x:v>P0</x:v>
      </x:c>
      <x:c r="B3" s="12" t="str">
        <x:v>模块结算阶段</x:v>
      </x:c>
      <x:c r="C3" s="12" t="str">
        <x:v>结构、使用中、使用后模块尚未分层，已影响强化框架和自修复核心。</x:v>
      </x:c>
      <x:c r="D3" s="12" t="str">
        <x:v>统一划分：创建时模块→使用前修饰→从左到右输出→扣除耐久→使用后模块→进入弃牌堆。</x:v>
      </x:c>
      <x:c r="F3" s="14" t="str">
        <x:v>P0</x:v>
      </x:c>
      <x:c r="G3" s="14" t="str">
        <x:v>左右邻接标记</x:v>
      </x:c>
      <x:c r="H3" s="14" t="str">
        <x:v>增压器、联轴器、分流阀等效果只标记打出时右侧直接相邻的目标。</x:v>
      </x:c>
      <x:c r="I3" s="14" t="str">
        <x:v>目标离开手牌后标记继续存在，直到其打出或回合结束；目标被弃置或装配时标记失效。</x:v>
      </x:c>
      <x:c r="K3" s="14" t="str">
        <x:v>P0</x:v>
      </x:c>
      <x:c r="L3" s="14" t="str">
        <x:v>处理</x:v>
      </x:c>
      <x:c r="M3" s="14" t="str">
        <x:v>处理=消耗目标废料并生成对应次级产物；普通消耗、熔炼、拆用不属于处理。</x:v>
      </x:c>
      <x:c r="N3" s="14" t="str">
        <x:v>只有明确写有“处理”的效果才能触发次级产物和处理类能力。</x:v>
      </x:c>
      <x:c r="P3" s="14" t="str">
        <x:v>P0</x:v>
      </x:c>
      <x:c r="Q3" s="14" t="str">
        <x:v>弃牌堆顶部</x:v>
      </x:c>
      <x:c r="R3" s="14" t="str">
        <x:v>弃牌堆顶是最近进入弃牌堆的牌；正在打出的卡在效果结算完成后才进入弃牌堆。</x:v>
      </x:c>
      <x:c r="S3" s="14" t="str">
        <x:v>返工取件等效果不能错误选择正在结算的自身。</x:v>
      </x:c>
    </x:row>
    <x:row r="4">
      <x:c r="A4" s="12" t="str">
        <x:v>P0</x:v>
      </x:c>
      <x:c r="B4" s="12" t="str">
        <x:v>目标与目标死亡</x:v>
      </x:c>
      <x:c r="C4" s="12" t="str">
        <x:v>多个伤害模块共用目标时，目标中途死亡后的行为未定义。</x:v>
      </x:c>
      <x:c r="D4" s="12" t="str">
        <x:v>产物使用时只选一次目标；目标死亡后后续单体伤害跳过，不自动改换目标，全体模块照常执行。</x:v>
      </x:c>
      <x:c r="F4" s="14" t="str">
        <x:v>P0</x:v>
      </x:c>
      <x:c r="G4" s="14" t="str">
        <x:v>模块首中尾</x:v>
      </x:c>
      <x:c r="H4" s="14" t="str">
        <x:v>产物模块位置按当前模块列表动态判定；首、末和中间互斥。</x:v>
      </x:c>
      <x:c r="I4" s="14" t="str">
        <x:v>工序复核、退料器和模块回流改变模块列表后，立即重新计算位置条件。</x:v>
      </x:c>
      <x:c r="K4" s="14" t="str">
        <x:v>P0</x:v>
      </x:c>
      <x:c r="L4" s="14" t="str">
        <x:v>原位替换</x:v>
      </x:c>
      <x:c r="M4" s="14" t="str">
        <x:v>手牌中的废料被处理后，次级产物替换其当前手牌位置。</x:v>
      </x:c>
      <x:c r="N4" s="14" t="str">
        <x:v>多张废料按从左到右处理，避免索引变化导致顺序错误。</x:v>
      </x:c>
      <x:c r="P4" s="14" t="str">
        <x:v>P0</x:v>
      </x:c>
      <x:c r="Q4" s="14" t="str">
        <x:v>消耗堆蓝图</x:v>
      </x:c>
      <x:c r="R4" s="14" t="str">
        <x:v>只有零件牌可以作为蓝图来源；调用蓝图只复制模块，不移动原卡。</x:v>
      </x:c>
      <x:c r="S4" s="14" t="str">
        <x:v>虚拟模块继承来源类型、升级状态和模块数值，但不视为打出来源卡。</x:v>
      </x:c>
    </x:row>
    <x:row r="5">
      <x:c r="A5" s="12" t="str">
        <x:v>P0</x:v>
      </x:c>
      <x:c r="B5" s="12" t="str">
        <x:v>零件生命周期</x:v>
      </x:c>
      <x:c r="C5" s="12" t="str">
        <x:v>装配、拆解、战斗结束时零件实例和升级状态必须稳定保存。</x:v>
      </x:c>
      <x:c r="D5" s="12" t="str">
        <x:v>产物保存原零件实例引用或可逆序列化快照；战斗结束或拆解时按规则恢复，不能复制或丢失永久卡。</x:v>
      </x:c>
      <x:c r="F5" s="14" t="str">
        <x:v>P1</x:v>
      </x:c>
      <x:c r="G5" s="14" t="str">
        <x:v>产物手牌位置</x:v>
      </x:c>
      <x:c r="H5" s="14" t="str">
        <x:v>装配产物放在所选最左零件原位置；后续可以被排序牌移动。</x:v>
      </x:c>
      <x:c r="I5" s="14" t="str">
        <x:v>补料指令等效果读取结算时产物的当前手牌位置，而不是装配时位置。</x:v>
      </x:c>
      <x:c r="K5" s="14" t="str">
        <x:v>P0</x:v>
      </x:c>
      <x:c r="L5" s="14" t="str">
        <x:v>机械废料</x:v>
      </x:c>
      <x:c r="M5" s="14" t="str">
        <x:v>处理后生成次级传送带：0费，抽1，消耗，虚无，不可装配。</x:v>
      </x:c>
      <x:c r="N5" s="14" t="str">
        <x:v>标准装配默认只产生机械废料。</x:v>
      </x:c>
      <x:c r="P5" s="14" t="str">
        <x:v>P0</x:v>
      </x:c>
      <x:c r="Q5" s="14" t="str">
        <x:v>虚拟模块位置</x:v>
      </x:c>
      <x:c r="R5" s="14" t="str">
        <x:v>蓝图模块进入产物后正常占据首、中、末位置，并参与增压、重复、分流等顺序规则。</x:v>
      </x:c>
      <x:c r="S5" s="14" t="str">
        <x:v>加入或移除蓝图模块后立即重算模块位置、最大耐久和动态描述。</x:v>
      </x:c>
    </x:row>
    <x:row r="6">
      <x:c r="A6" s="12" t="str">
        <x:v>P1</x:v>
      </x:c>
      <x:c r="B6" s="12" t="str">
        <x:v>选择数量组件</x:v>
      </x:c>
      <x:c r="C6" s="12" t="str">
        <x:v>多张“至多X张”卡当前会强制选满。</x:v>
      </x:c>
      <x:c r="D6" s="12" t="str">
        <x:v>实现统一的最少/最多选择接口，并在卡牌文本中明确下限。</x:v>
      </x:c>
      <x:c r="F6" s="14" t="str">
        <x:v>P1</x:v>
      </x:c>
      <x:c r="G6" s="14" t="str">
        <x:v>位置收益强度</x:v>
      </x:c>
      <x:c r="H6" s="14" t="str">
        <x:v>位置条件应提供约0.5至1费价值，且左右或首尾尽量给出不同类型收益。</x:v>
      </x:c>
      <x:c r="I6" s="14" t="str">
        <x:v>避免“只要在边缘就固定加数值”；优先使用抽牌/格挡、费用/能量等分支选择。</x:v>
      </x:c>
      <x:c r="K6" s="14" t="str">
        <x:v>P0</x:v>
      </x:c>
      <x:c r="L6" s="14" t="str">
        <x:v>生物废料</x:v>
      </x:c>
      <x:c r="M6" s="14" t="str">
        <x:v>处理后生成次级能量储罐：0费，获得1能量，消耗，虚无，不可装配。</x:v>
      </x:c>
      <x:c r="N6" s="14" t="str">
        <x:v>生物废料主要由专属生物零件生成，数量应低于机械废料。</x:v>
      </x:c>
      <x:c r="P6" s="14" t="str">
        <x:v>P1</x:v>
      </x:c>
      <x:c r="Q6" s="14" t="str">
        <x:v>临时复刻件</x:v>
      </x:c>
      <x:c r="R6" s="14" t="str">
        <x:v>从消耗堆创建的复制品是战斗内临时卡，获得虚无与消耗。</x:v>
      </x:c>
      <x:c r="S6" s="14" t="str">
        <x:v>可正常打出或装配；战斗结束不加入永久牌组，拆解后仍保持临时属性。</x:v>
      </x:c>
    </x:row>
    <x:row r="7">
      <x:c r="A7" s="12" t="str">
        <x:v>已调整</x:v>
      </x:c>
      <x:c r="B7" s="12" t="str">
        <x:v>初始牌组伤害密度</x:v>
      </x:c>
      <x:c r="C7" s="12" t="str">
        <x:v>初始牌组已由3张铸件打击、3张防护板调整为4张铸件打击、2张防护板。</x:v>
      </x:c>
      <x:c r="D7" s="12" t="str">
        <x:v>当前结构：4张攻击零件、3张防御零件、送料器、机械臂、应急维护，共10张。优先测试前期生存与装配后伤害节奏。</x:v>
      </x:c>
      <x:c r="K7" s="14" t="str">
        <x:v>P1</x:v>
      </x:c>
      <x:c r="L7" s="14" t="str">
        <x:v>弃牌堆处理</x:v>
      </x:c>
      <x:c r="M7" s="14" t="str">
        <x:v>默认只能处理手牌中的废料；远程回收等卡牌可作为明确例外。</x:v>
      </x:c>
      <x:c r="N7" s="14" t="str">
        <x:v>弃牌堆处理生成的次级产物按卡牌指定位置加入手牌。</x:v>
      </x:c>
      <x:c r="P7" s="14" t="str">
        <x:v>P1</x:v>
      </x:c>
      <x:c r="Q7" s="14" t="str">
        <x:v>跨堆移动触发</x:v>
      </x:c>
      <x:c r="R7" s="14" t="str">
        <x:v>直接从弃牌堆加入手牌不属于抽牌；从消耗堆复制也不属于抽牌。</x:v>
      </x:c>
      <x:c r="S7" s="14" t="str">
        <x:v>先入先出只监听正常Draw事件；返工总线只监听弃牌堆到手牌事件。</x:v>
      </x:c>
    </x:row>
    <x:row r="8">
      <x:c r="A8" s="12" t="str">
        <x:v>P1</x:v>
      </x:c>
      <x:c r="B8" s="12" t="str">
        <x:v>产物是否保留</x:v>
      </x:c>
      <x:c r="C8" s="12" t="str">
        <x:v>当前产物明确不具有保留；三联装配和工业奇迹通常无法在装配当回合使用。</x:v>
      </x:c>
      <x:c r="D8" s="12" t="str">
        <x:v>若坚持不保留，需要接受产物进入弃牌堆后再抽取；若体验拖沓，可让三联装配和工业奇迹生成的产物获得保留。</x:v>
      </x:c>
      <x:c r="K8" s="14" t="str">
        <x:v>P1</x:v>
      </x:c>
      <x:c r="L8" s="14" t="str">
        <x:v>次级产物限制</x:v>
      </x:c>
      <x:c r="M8" s="14" t="str">
        <x:v>次级传送带和次级能量储罐不是零件，不能装配。</x:v>
      </x:c>
      <x:c r="N8" s="14" t="str">
        <x:v>避免将免费抽牌/能量模块写入耐久产物形成循环。</x:v>
      </x:c>
      <x:c r="P8" s="14" t="str">
        <x:v>P1</x:v>
      </x:c>
      <x:c r="Q8" s="14" t="str">
        <x:v>洗牌边界</x:v>
      </x:c>
      <x:c r="R8" s="14" t="str">
        <x:v>需要访问抽牌堆但抽牌堆为空时，只有明确写明的效果才触发洗牌。</x:v>
      </x:c>
      <x:c r="S8" s="14" t="str">
        <x:v>底仓吊运允许先洗牌；查看牌堆顶、顶层预装默认不主动洗牌。</x:v>
      </x:c>
    </x:row>
    <x:row r="9">
      <x:c r="A9" s="12" t="str">
        <x:v>P1</x:v>
      </x:c>
      <x:c r="B9" s="12" t="str">
        <x:v>抽牌与能量循环</x:v>
      </x:c>
      <x:c r="C9" s="12" t="str">
        <x:v>送料器模块、自修复核心+、快速装配+等组合可能形成低成本循环。</x:v>
      </x:c>
      <x:c r="D9" s="12" t="str">
        <x:v>在加入弃牌回收、产物回手或额外装配前，建立自动循环测试，限制同一产物内抽牌/能量模块的收益。</x:v>
      </x:c>
      <x:c r="K9" s="14" t="str">
        <x:v>P1</x:v>
      </x:c>
      <x:c r="L9" s="14" t="str">
        <x:v>处理触发次数</x:v>
      </x:c>
      <x:c r="M9" s="14" t="str">
        <x:v>“第一次处理”按每张废料分别计数；一次处理两张视为两次处理。</x:v>
      </x:c>
      <x:c r="N9" s="14" t="str">
        <x:v>混合类型条件在两种处理均完成后检查，每回合最多触发一次。</x:v>
      </x:c>
      <x:c r="P9" s="14" t="str">
        <x:v>P1</x:v>
      </x:c>
      <x:c r="Q9" s="14" t="str">
        <x:v>牌堆顺序界面</x:v>
      </x:c>
      <x:c r="R9" s="14" t="str">
        <x:v>涉及顶层、弃牌顶部窗口和蓝图最近顺序的卡牌必须显示清晰顺序。</x:v>
      </x:c>
      <x:c r="S9" s="14" t="str">
        <x:v>界面使用从左到右表示从顶到深，避免实际结算与显示相反。</x:v>
      </x:c>
    </x:row>
    <x:row r="10">
      <x:c r="A10" s="12" t="str">
        <x:v>P2</x:v>
      </x:c>
      <x:c r="B10" s="12" t="str">
        <x:v>术语一致性</x:v>
      </x:c>
      <x:c r="C10" s="12" t="str">
        <x:v>“故障、维修、耐久、输出模块、结构模块”等需要统一关键词文本。</x:v>
      </x:c>
      <x:c r="D10" s="12" t="str">
        <x:v>建立统一关键词词典，并由动态描述层生成产物说明，避免每张牌自行解释。</x:v>
      </x:c>
    </x:row>
    <x:row r="13">
      <x:c r="A13" s="25" t="str">
        <x:v>审核等级</x:v>
      </x:c>
      <x:c r="B13" s="25" t="str">
        <x:v>数量</x:v>
      </x:c>
    </x:row>
    <x:row r="14">
      <x:c r="A14" t="str">
        <x:v>通过</x:v>
      </x:c>
      <x:c r="B14" t="n">
        <x:v>6</x:v>
      </x:c>
    </x:row>
    <x:row r="15">
      <x:c r="A15" t="str">
        <x:v>重点实测</x:v>
      </x:c>
      <x:c r="B15" t="n">
        <x:v>4</x:v>
      </x:c>
    </x:row>
    <x:row r="16">
      <x:c r="A16" t="str">
        <x:v>阻塞实现</x:v>
      </x:c>
      <x:c r="B16" t="n">
        <x:v>4</x:v>
      </x:c>
    </x:row>
    <x:row r="17">
      <x:c r="A17" t="str">
        <x:v>需修改</x:v>
      </x:c>
      <x:c r="B17" t="n">
        <x:v>4</x:v>
      </x:c>
    </x:row>
    <x:row r="18">
      <x:c r="A18" t="str">
        <x:v>需澄清</x:v>
      </x:c>
      <x:c r="B18" t="n">
        <x:v>11</x:v>
      </x:c>
    </x:row>
    <x:row r="19">
      <x:c r="A19" t="str">
        <x:v>高风险实测</x:v>
      </x:c>
      <x:c r="B19" t="n">
        <x:v>1</x:v>
      </x:c>
    </x:row>
  </x:sheetData>
  <x:pageMargins left="0.7" right="0.7" top="0.75" bottom="0.75" header="0.3" footer="0.3"/>
  <x:tableParts count="5">
    <x:tablePart xmlns:r="http://schemas.openxmlformats.org/officeDocument/2006/relationships" r:id="Re3f9d317f8de48cc"/>
    <x:tablePart xmlns:r="http://schemas.openxmlformats.org/officeDocument/2006/relationships" r:id="R0c118982ae4d4032"/>
    <x:tablePart xmlns:r="http://schemas.openxmlformats.org/officeDocument/2006/relationships" r:id="Rf354f138997d448f"/>
    <x:tablePart xmlns:r="http://schemas.openxmlformats.org/officeDocument/2006/relationships" r:id="R89abd065b5b14772"/>
    <x:tablePart xmlns:r="http://schemas.openxmlformats.org/officeDocument/2006/relationships" r:id="R709fb151482b48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18" hidden="0" customWidth="1"/>
    <x:col min="5" max="5" width="38" hidden="0" customWidth="1"/>
    <x:col min="6" max="6" width="32" hidden="0" customWidth="1"/>
  </x:cols>
  <x:sheetData>
    <x:row r="1">
      <x:c r="A1" s="31" t="str">
        <x:v>卡牌名称</x:v>
      </x:c>
      <x:c r="B1" s="31" t="str">
        <x:v>数量</x:v>
      </x:c>
      <x:c r="C1" s="31" t="str">
        <x:v>费用</x:v>
      </x:c>
      <x:c r="D1" s="31" t="str">
        <x:v>定位</x:v>
      </x:c>
      <x:c r="E1" s="31" t="str">
        <x:v>初始用途</x:v>
      </x:c>
      <x:c r="F1" s="31" t="str">
        <x:v>升级方向</x:v>
      </x:c>
    </x:row>
    <x:row r="2">
      <x:c r="A2" s="14" t="str">
        <x:v>铸件打击</x:v>
      </x:c>
      <x:c r="B2" s="14" t="n">
        <x:v>4</x:v>
      </x:c>
      <x:c r="C2" s="14" t="n">
        <x:v>1</x:v>
      </x:c>
      <x:c r="D2" s="14" t="str">
        <x:v>攻击零件</x:v>
      </x:c>
      <x:c r="E2" s="14" t="str">
        <x:v>基础输出；装配后提供伤害模块</x:v>
      </x:c>
      <x:c r="F2" s="14" t="str">
        <x:v>打出6→9；模块5→7</x:v>
      </x:c>
    </x:row>
    <x:row r="3">
      <x:c r="A3" s="14" t="str">
        <x:v>防护板</x:v>
      </x:c>
      <x:c r="B3" s="14" t="n">
        <x:v>2</x:v>
      </x:c>
      <x:c r="C3" s="14" t="n">
        <x:v>1</x:v>
      </x:c>
      <x:c r="D3" s="14" t="str">
        <x:v>防御零件</x:v>
      </x:c>
      <x:c r="E3" s="14" t="str">
        <x:v>基础格挡；装配后提供格挡模块</x:v>
      </x:c>
      <x:c r="F3" s="14" t="str">
        <x:v>打出5→8；模块5→7</x:v>
      </x:c>
    </x:row>
    <x:row r="4">
      <x:c r="A4" s="14" t="str">
        <x:v>送料器</x:v>
      </x:c>
      <x:c r="B4" s="14" t="n">
        <x:v>1</x:v>
      </x:c>
      <x:c r="C4" s="14" t="n">
        <x:v>0</x:v>
      </x:c>
      <x:c r="D4" s="14" t="str">
        <x:v>相邻废料运转零件</x:v>
      </x:c>
      <x:c r="E4" s="14" t="str">
        <x:v>无条件抽1；与废料相邻额外抽牌；可通过机械臂主动制造相邻</x:v>
      </x:c>
      <x:c r="F4" s="14" t="str">
        <x:v>左右两侧废料分别提供额外抽牌</x:v>
      </x:c>
    </x:row>
    <x:row r="5">
      <x:c r="A5" s="14" t="str">
        <x:v>侧翼护板</x:v>
      </x:c>
      <x:c r="B5" s="14" t="n">
        <x:v>1</x:v>
      </x:c>
      <x:c r="C5" s="14" t="n">
        <x:v>1</x:v>
      </x:c>
      <x:c r="D5" s="14" t="str">
        <x:v>左右端分支零件</x:v>
      </x:c>
      <x:c r="E5" s="14" t="str">
        <x:v>最左侧强化格挡；最右侧抽牌；装配后首模块偏防御、末模块偏运转</x:v>
      </x:c>
      <x:c r="F5" s="14" t="str">
        <x:v>提高格挡数值，端点功能不变</x:v>
      </x:c>
    </x:row>
    <x:row r="6">
      <x:c r="A6" s="14" t="str">
        <x:v>机械臂</x:v>
      </x:c>
      <x:c r="B6" s="14" t="n">
        <x:v>1</x:v>
      </x:c>
      <x:c r="C6" s="14" t="n">
        <x:v>0</x:v>
      </x:c>
      <x:c r="D6" s="14" t="str">
        <x:v>位置调整</x:v>
      </x:c>
      <x:c r="E6" s="14" t="str">
        <x:v>调整相邻、边缘和废料位置</x:v>
      </x:c>
      <x:c r="F6" s="14" t="str">
        <x:v>移动范围提升为任意位置</x:v>
      </x:c>
    </x:row>
    <x:row r="7">
      <x:c r="A7" s="14" t="str">
        <x:v>应急维护</x:v>
      </x:c>
      <x:c r="B7" s="14" t="n">
        <x:v>1</x:v>
      </x:c>
      <x:c r="C7" s="14" t="n">
        <x:v>1</x:v>
      </x:c>
      <x:c r="D7" s="14" t="str">
        <x:v>防御/维修</x:v>
      </x:c>
      <x:c r="E7" s="14" t="str">
        <x:v>获得格挡并维修产物</x:v>
      </x:c>
      <x:c r="F7" s="14" t="str">
        <x:v>格挡6→8；维修1→2</x:v>
      </x:c>
    </x:row>
    <x:row r="8">
      <x:c r="A8" s="14"/>
      <x:c r="B8" s="14"/>
      <x:c r="C8" s="14"/>
      <x:c r="D8" s="14"/>
      <x:c r="E8" s="14"/>
      <x:c r="F8" s="14"/>
    </x:row>
    <x:row r="9">
      <x:c r="A9" s="33" t="str">
        <x:v>汇总指标</x:v>
      </x:c>
      <x:c r="B9" s="33" t="str">
        <x:v>数值</x:v>
      </x:c>
      <x:c r="C9" s="14"/>
      <x:c r="D9" s="35" t="str">
        <x:v>初始遗物</x:v>
      </x:c>
      <x:c r="E9" s="35" t="str">
        <x:v>自动装配机</x:v>
      </x:c>
      <x:c r="F9" s="35" t="str">
        <x:v>每回合抽牌结束后，若手牌没有基础装配，则生成1张基础装配。</x:v>
      </x:c>
    </x:row>
    <x:row r="10">
      <x:c r="A10" s="14" t="str">
        <x:v>永久牌组数量</x:v>
      </x:c>
      <x:c r="B10" s="14" t="n">
        <x:v>10</x:v>
      </x:c>
      <x:c r="C10" s="14"/>
      <x:c r="D10" s="14" t="str">
        <x:v>临时牌</x:v>
      </x:c>
      <x:c r="E10" s="14" t="str">
        <x:v>基础装配</x:v>
      </x:c>
      <x:c r="F10" s="14" t="str">
        <x:v>0费、保留、消耗；装配2张相邻零件，生成1费2耐久产物并产生1张机械废料。</x:v>
      </x:c>
    </x:row>
    <x:row r="11">
      <x:c r="A11" s="14" t="str">
        <x:v>攻击牌数量</x:v>
      </x:c>
      <x:c r="B11" s="14" t="n">
        <x:v>4</x:v>
      </x:c>
      <x:c r="C11" s="14"/>
      <x:c r="D11" s="14" t="str">
        <x:v>结构目标</x:v>
      </x:c>
      <x:c r="E11" s="14" t="str">
        <x:v>4/4/2</x:v>
      </x:c>
      <x:c r="F11" s="14" t="str">
        <x:v>4张攻击；4张可提供格挡的牌；2张纯功能牌。</x:v>
      </x:c>
    </x:row>
    <x:row r="12">
      <x:c r="A12" s="14" t="str">
        <x:v>防御/格挡牌数量</x:v>
      </x:c>
      <x:c r="B12" s="14" t="n">
        <x:v>4</x:v>
      </x:c>
      <x:c r="C12" s="14"/>
      <x:c r="D12" s="14" t="str">
        <x:v>主要调整</x:v>
      </x:c>
      <x:c r="E12" s="14" t="str">
        <x:v>攻击+1、防护板-1</x:v>
      </x:c>
      <x:c r="F12" s="14" t="str">
        <x:v>提升前期击杀速度，同时保留位置防御和维修防御。</x:v>
      </x:c>
    </x:row>
    <x:row r="13">
      <x:c r="A13" s="14" t="str">
        <x:v>功能牌数量</x:v>
      </x:c>
      <x:c r="B13" s="14" t="n">
        <x:v>2</x:v>
      </x:c>
      <x:c r="C13" s="14"/>
      <x:c r="D13" s="14" t="str">
        <x:v>测试重点</x:v>
      </x:c>
      <x:c r="E13" s="14" t="str">
        <x:v>生存与装配节奏</x:v>
      </x:c>
      <x:c r="F13" s="14" t="str">
        <x:v>观察防护板减少后，高伤敌人战斗是否出现防御不足。</x:v>
      </x:c>
    </x:row>
  </x:sheetData>
  <x:pageMargins left="0.7" right="0.7" top="0.75" bottom="0.75" header="0.3" footer="0.3"/>
  <x:tableParts count="1">
    <x:tablePart xmlns:r="http://schemas.openxmlformats.org/officeDocument/2006/relationships" r:id="Rcb98e29680cb43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0" hidden="0" customWidth="1"/>
    <x:col min="4" max="4" width="36" hidden="0" customWidth="1"/>
    <x:col min="5" max="5" width="40" hidden="0" customWidth="1"/>
    <x:col min="6" max="6" width="34" hidden="0" customWidth="1"/>
    <x:col min="7" max="7" width="14" hidden="0" customWidth="1"/>
    <x:col min="8" max="8" width="38" hidden="0" customWidth="1"/>
    <x:col min="10" max="10" width="28" hidden="0" customWidth="1"/>
    <x:col min="11" max="11" width="52" hidden="0" customWidth="1"/>
  </x:cols>
  <x:sheetData>
    <x:row r="1">
      <x:c r="A1" s="50" t="str">
        <x:v>位置收益体系 v0.5</x:v>
      </x:c>
      <x:c r="B1" s="50"/>
      <x:c r="C1" s="50"/>
      <x:c r="D1" s="50"/>
      <x:c r="E1" s="50"/>
      <x:c r="F1" s="50"/>
      <x:c r="G1" s="50"/>
      <x:c r="H1" s="50"/>
      <x:c r="J1" s="57" t="str">
        <x:v>指标</x:v>
      </x:c>
      <x:c r="K1" s="57" t="str">
        <x:v>数值</x:v>
      </x:c>
    </x:row>
    <x:row r="2">
      <x:c r="J2" s="12" t="str">
        <x:v>位置收益牌数量</x:v>
      </x:c>
      <x:c r="K2" s="12" t="n">
        <x:f>COUNTA(A4:A40)</x:f>
        <x:v>37</x:v>
      </x:c>
    </x:row>
    <x:row r="3">
      <x:c r="A3" s="55" t="str">
        <x:v>卡牌名称</x:v>
      </x:c>
      <x:c r="B3" s="55" t="str">
        <x:v>稀有度</x:v>
      </x:c>
      <x:c r="C3" s="55" t="str">
        <x:v>位置类别</x:v>
      </x:c>
      <x:c r="D3" s="55" t="str">
        <x:v>打出时的位置收益</x:v>
      </x:c>
      <x:c r="E3" s="55" t="str">
        <x:v>装配/产物位置收益</x:v>
      </x:c>
      <x:c r="F3" s="55" t="str">
        <x:v>主要决策</x:v>
      </x:c>
      <x:c r="G3" s="55" t="str">
        <x:v>风险等级</x:v>
      </x:c>
      <x:c r="H3" s="55" t="str">
        <x:v>实现备注</x:v>
      </x:c>
      <x:c r="J3" s="12" t="str">
        <x:v>涉及相邻关系</x:v>
      </x:c>
      <x:c r="K3" s="12" t="n">
        <x:f>COUNTIF(C4:C40,"相邻")+COUNTIF(C4:C40,"右邻接")+COUNTIF(C4:C40,"隔断")+COUNTIF(C4:C40,"废料隔断")+COUNTIF(C4:C40,"模块相邻")+COUNTIF(C4:C40,"全局相邻/双端")+COUNTIF(C4:C40,"左右邻接")+COUNTIF(C4:C40,"左右夹持")+COUNTIF(C4:C40,"产物左右邻接")+COUNTIF(C4:C40,"装配落点邻接")</x:f>
        <x:v>13</x:v>
      </x:c>
    </x:row>
    <x:row r="4">
      <x:c r="A4" s="14" t="str">
        <x:v>送料器</x:v>
      </x:c>
      <x:c r="B4" s="14" t="str">
        <x:v>基础</x:v>
      </x:c>
      <x:c r="C4" s="14" t="str">
        <x:v>相邻</x:v>
      </x:c>
      <x:c r="D4" s="14" t="str">
        <x:v>与废料相邻额外抽1；升级后左右分别计算</x:v>
      </x:c>
      <x:c r="E4" s="14" t="str">
        <x:v>模块固定抽1</x:v>
      </x:c>
      <x:c r="F4" s="14" t="str">
        <x:v>把送料器移到废料旁，还是将其装入产物</x:v>
      </x:c>
      <x:c r="G4" s="14" t="str">
        <x:v>重点实测</x:v>
      </x:c>
      <x:c r="H4" s="14" t="str">
        <x:v>判定打出前左右邻居</x:v>
      </x:c>
      <x:c r="J4" s="12" t="str">
        <x:v>涉及首尾/左右端</x:v>
      </x:c>
      <x:c r="K4" s="12" t="n">
        <x:f>COUNTIF(C4:C40,"左右端")+COUNTIF(C4:C40,"左右端/首尾")+COUNTIF(C4:C40,"首尾")+COUNTIF(C4:C40,"右端/末端")+COUNTIF(C4:C40,"首中尾")+COUNTIF(C4:C40,"产物首尾/中间")+COUNTIF(C4:C40,"产物手牌位置")+COUNTIF(C4:C40,"产物首尾")+COUNTIF(C4:C40,"全局相邻/双端")+COUNTIF(C4:C40,"手牌双端")+COUNTIF(C4:C40,"次级产物双端")+COUNTIF(C4:C40,"牌堆顶→手牌端点")+COUNTIF(C4:C40,"牌堆底→右端")+COUNTIF(C4:C40,"抽牌顺序→双端")+COUNTIF(C4:C40,"弃牌最近→双端")+COUNTIF(C4:C40,"弃牌顶部窗口→右端")+COUNTIF(C4:C40,"两堆顶层→手牌端点")+COUNTIF(C4:C40,"手牌双端→消耗堆")+COUNTIF(C4:C40,"蓝图首尾")+COUNTIF(C4:C40,"消耗堆→手牌端点")</x:f>
        <x:v>21</x:v>
      </x:c>
    </x:row>
    <x:row r="5">
      <x:c r="A5" s="14" t="str">
        <x:v>侧翼护板</x:v>
      </x:c>
      <x:c r="B5" s="14" t="str">
        <x:v>基础</x:v>
      </x:c>
      <x:c r="C5" s="14" t="str">
        <x:v>左右端</x:v>
      </x:c>
      <x:c r="D5" s="14" t="str">
        <x:v>最左额外格挡；最右抽1</x:v>
      </x:c>
      <x:c r="E5" s="14" t="str">
        <x:v>首模块额外格挡；末模块抽1</x:v>
      </x:c>
      <x:c r="F5" s="14" t="str">
        <x:v>防御端或运转端</x:v>
      </x:c>
      <x:c r="G5" s="14" t="str">
        <x:v>重点实测</x:v>
      </x:c>
      <x:c r="H5" s="14" t="str">
        <x:v>两模块产物只能触发其中一端</x:v>
      </x:c>
      <x:c r="J5" s="12" t="str">
        <x:v>涉及中间位置</x:v>
      </x:c>
      <x:c r="K5" s="12" t="n">
        <x:f>COUNTIF(C4:C40,"首中尾")+COUNTIF(C4:C40,"产物首尾/中间")</x:f>
        <x:v>2</x:v>
      </x:c>
    </x:row>
    <x:row r="6">
      <x:c r="A6" s="14" t="str">
        <x:v>增压器</x:v>
      </x:c>
      <x:c r="B6" s="14" t="str">
        <x:v>普通</x:v>
      </x:c>
      <x:c r="C6" s="14" t="str">
        <x:v>右邻接</x:v>
      </x:c>
      <x:c r="D6" s="14" t="str">
        <x:v>强化右侧相邻攻击零件</x:v>
      </x:c>
      <x:c r="E6" s="14" t="str">
        <x:v>强化后续首个输出模块</x:v>
      </x:c>
      <x:c r="F6" s="14" t="str">
        <x:v>将前置组件放到输出左侧</x:v>
      </x:c>
      <x:c r="G6" s="14" t="str">
        <x:v>重点实测</x:v>
      </x:c>
      <x:c r="H6" s="14" t="str">
        <x:v>目标标记持续到打出或回合结束</x:v>
      </x:c>
      <x:c r="J6" s="12" t="str">
        <x:v>高风险实测牌</x:v>
      </x:c>
      <x:c r="K6" s="12" t="n">
        <x:f>COUNTIF(G4:G40,"高风险实测")</x:f>
        <x:v>11</x:v>
      </x:c>
    </x:row>
    <x:row r="7">
      <x:c r="A7" s="14" t="str">
        <x:v>联轴器</x:v>
      </x:c>
      <x:c r="B7" s="14" t="str">
        <x:v>普通</x:v>
      </x:c>
      <x:c r="C7" s="14" t="str">
        <x:v>右邻接</x:v>
      </x:c>
      <x:c r="D7" s="14" t="str">
        <x:v>使右侧相邻零件打出时重复输出</x:v>
      </x:c>
      <x:c r="E7" s="14" t="str">
        <x:v>重复前一输出模块</x:v>
      </x:c>
      <x:c r="F7" s="14" t="str">
        <x:v>选择要复制的右邻零件</x:v>
      </x:c>
      <x:c r="G7" s="14" t="str">
        <x:v>重点实测</x:v>
      </x:c>
      <x:c r="H7" s="14" t="str">
        <x:v>不复制抽牌、能量和修饰</x:v>
      </x:c>
      <x:c r="J7" s="12" t="str">
        <x:v>初始牌组位置收益牌</x:v>
      </x:c>
      <x:c r="K7" s="12" t="n">
        <x:f>COUNTIF(B4:B40,"基础")</x:f>
        <x:v>2</x:v>
      </x:c>
    </x:row>
    <x:row r="8">
      <x:c r="A8" s="14" t="str">
        <x:v>分流阀</x:v>
      </x:c>
      <x:c r="B8" s="14" t="str">
        <x:v>罕见</x:v>
      </x:c>
      <x:c r="C8" s="14" t="str">
        <x:v>右邻接</x:v>
      </x:c>
      <x:c r="D8" s="14" t="str">
        <x:v>将右侧攻击零件转为全体</x:v>
      </x:c>
      <x:c r="E8" s="14" t="str">
        <x:v>后续首个伤害模块转全体</x:v>
      </x:c>
      <x:c r="F8" s="14" t="str">
        <x:v>分流阀必须位于攻击左侧</x:v>
      </x:c>
      <x:c r="G8" s="14" t="str">
        <x:v>重点实测</x:v>
      </x:c>
      <x:c r="H8" s="14" t="str">
        <x:v>直接版基础有伤害惩罚</x:v>
      </x:c>
      <x:c r="J8" s="12"/>
      <x:c r="K8" s="12"/>
    </x:row>
    <x:row r="9">
      <x:c r="A9" s="14" t="str">
        <x:v>强化框架</x:v>
      </x:c>
      <x:c r="B9" s="14" t="str">
        <x:v>罕见</x:v>
      </x:c>
      <x:c r="C9" s="14" t="str">
        <x:v>左右端/首尾</x:v>
      </x:c>
      <x:c r="D9" s="14" t="str">
        <x:v>最左维修；最右额外格挡</x:v>
      </x:c>
      <x:c r="E9" s="14" t="str">
        <x:v>首模块加最大耐久；末模块首用免损</x:v>
      </x:c>
      <x:c r="F9" s="14" t="str">
        <x:v>延长寿命或提高即时耐久效率</x:v>
      </x:c>
      <x:c r="G9" s="14" t="str">
        <x:v>重点实测</x:v>
      </x:c>
      <x:c r="H9" s="14" t="str">
        <x:v>末端免损不叠加</x:v>
      </x:c>
      <x:c r="J9" s="44" t="str">
        <x:v>设计原则</x:v>
      </x:c>
      <x:c r="K9" s="44" t="str">
        <x:v>说明</x:v>
      </x:c>
    </x:row>
    <x:row r="10">
      <x:c r="A10" s="14" t="str">
        <x:v>临时缓存</x:v>
      </x:c>
      <x:c r="B10" s="14" t="str">
        <x:v>普通</x:v>
      </x:c>
      <x:c r="C10" s="14" t="str">
        <x:v>隔断</x:v>
      </x:c>
      <x:c r="D10" s="14" t="str">
        <x:v>移走夹在两零件间的卡后，装配可补牌</x:v>
      </x:c>
      <x:c r="E10" s="14" t="str">
        <x:v>无</x:v>
      </x:c>
      <x:c r="F10" s="14" t="str">
        <x:v>移除哪张阻断牌以打通生产线</x:v>
      </x:c>
      <x:c r="G10" s="14" t="str">
        <x:v>重点实测</x:v>
      </x:c>
      <x:c r="H10" s="14" t="str">
        <x:v>记录原左右邻居</x:v>
      </x:c>
      <x:c r="J10" s="12" t="str">
        <x:v>左右不等价</x:v>
      </x:c>
      <x:c r="K10" s="12" t="str">
        <x:v>左端偏防御/准备，右端偏抽牌/爆发，使移动方向成为决策。</x:v>
      </x:c>
    </x:row>
    <x:row r="11">
      <x:c r="A11" s="14" t="str">
        <x:v>批次标签</x:v>
      </x:c>
      <x:c r="B11" s="14" t="str">
        <x:v>普通</x:v>
      </x:c>
      <x:c r="C11" s="14" t="str">
        <x:v>首中尾</x:v>
      </x:c>
      <x:c r="D11" s="14" t="str">
        <x:v>标记零件的装配位置决定收益</x:v>
      </x:c>
      <x:c r="E11" s="14" t="str">
        <x:v>首抽牌；中返能；末降产物费用</x:v>
      </x:c>
      <x:c r="F11" s="14" t="str">
        <x:v>同一零件放在哪个模块位置</x:v>
      </x:c>
      <x:c r="G11" s="14" t="str">
        <x:v>高风险实测</x:v>
      </x:c>
      <x:c r="H11" s="14" t="str">
        <x:v>升级中间返能每回合限1次</x:v>
      </x:c>
      <x:c r="J11" s="12" t="str">
        <x:v>首中尾均有牌</x:v>
      </x:c>
      <x:c r="K11" s="12" t="str">
        <x:v>避免所有位置牌只检查边缘；批次标签和联锁工位支持中间模块。</x:v>
      </x:c>
    </x:row>
    <x:row r="12">
      <x:c r="A12" s="14" t="str">
        <x:v>旁路导轨</x:v>
      </x:c>
      <x:c r="B12" s="14" t="str">
        <x:v>普通</x:v>
      </x:c>
      <x:c r="C12" s="14" t="str">
        <x:v>废料隔断</x:v>
      </x:c>
      <x:c r="D12" s="14" t="str">
        <x:v>允许跨过1张废料并决定其移动端点</x:v>
      </x:c>
      <x:c r="E12" s="14" t="str">
        <x:v>无</x:v>
      </x:c>
      <x:c r="F12" s="14" t="str">
        <x:v>绕过废料并安排送料器邻接</x:v>
      </x:c>
      <x:c r="G12" s="14" t="str">
        <x:v>重点实测</x:v>
      </x:c>
      <x:c r="H12" s="14" t="str">
        <x:v>废料不计入产物</x:v>
      </x:c>
      <x:c r="J12" s="12" t="str">
        <x:v>废料既堵塞又定位</x:v>
      </x:c>
      <x:c r="K12" s="12" t="str">
        <x:v>旁路导轨和送料器利用废料所在位置，但不免费清除废料。</x:v>
      </x:c>
    </x:row>
    <x:row r="13">
      <x:c r="A13" s="14" t="str">
        <x:v>滚轮组</x:v>
      </x:c>
      <x:c r="B13" s="14" t="str">
        <x:v>普通</x:v>
      </x:c>
      <x:c r="C13" s="14" t="str">
        <x:v>首尾</x:v>
      </x:c>
      <x:c r="D13" s="14" t="str">
        <x:v>无</x:v>
      </x:c>
      <x:c r="E13" s="14" t="str">
        <x:v>首模块先清手再抽；末模块先抽再筛</x:v>
      </x:c>
      <x:c r="F13" s="14" t="str">
        <x:v>过滤顺序由模块端点决定</x:v>
      </x:c>
      <x:c r="G13" s="14" t="str">
        <x:v>重点实测</x:v>
      </x:c>
      <x:c r="H13" s="14" t="str">
        <x:v>允许手牌为空时跳过放回</x:v>
      </x:c>
      <x:c r="J13" s="12" t="str">
        <x:v>产物也有手牌位置</x:v>
      </x:c>
      <x:c r="K13" s="12" t="str">
        <x:v>补料指令使装配产物落点影响资源，而不是只看内部模块。</x:v>
      </x:c>
    </x:row>
    <x:row r="14">
      <x:c r="A14" s="14" t="str">
        <x:v>出料计数器</x:v>
      </x:c>
      <x:c r="B14" s="14" t="str">
        <x:v>普通</x:v>
      </x:c>
      <x:c r="C14" s="14" t="str">
        <x:v>右端/末端</x:v>
      </x:c>
      <x:c r="D14" s="14" t="str">
        <x:v>本回合装配后且在最右侧时抽1</x:v>
      </x:c>
      <x:c r="E14" s="14" t="str">
        <x:v>末模块抽1</x:v>
      </x:c>
      <x:c r="F14" s="14" t="str">
        <x:v>将其留在右端或作为产物尾部</x:v>
      </x:c>
      <x:c r="G14" s="14" t="str">
        <x:v>重点实测</x:v>
      </x:c>
      <x:c r="H14" s="14" t="str">
        <x:v>重复过牌风险</x:v>
      </x:c>
      <x:c r="J14" s="12" t="str">
        <x:v>位置收益有成本</x:v>
      </x:c>
      <x:c r="K14" s="12" t="str">
        <x:v>强奖励通常需要装配、标记、消耗或每回合次数限制。</x:v>
      </x:c>
    </x:row>
    <x:row r="15">
      <x:c r="A15" s="14" t="str">
        <x:v>工序复核</x:v>
      </x:c>
      <x:c r="B15" s="14" t="str">
        <x:v>罕见</x:v>
      </x:c>
      <x:c r="C15" s="14" t="str">
        <x:v>模块相邻</x:v>
      </x:c>
      <x:c r="D15" s="14" t="str">
        <x:v>无</x:v>
      </x:c>
      <x:c r="E15" s="14" t="str">
        <x:v>交换相邻模块并激活新位置条件时抽1</x:v>
      </x:c>
      <x:c r="F15" s="14" t="str">
        <x:v>装配后纠正首中尾顺序</x:v>
      </x:c>
      <x:c r="G15" s="14" t="str">
        <x:v>重点实测</x:v>
      </x:c>
      <x:c r="H15" s="14" t="str">
        <x:v>需比较交换前后条件</x:v>
      </x:c>
    </x:row>
    <x:row r="16">
      <x:c r="A16" s="14" t="str">
        <x:v>退料器</x:v>
      </x:c>
      <x:c r="B16" s="14" t="str">
        <x:v>罕见</x:v>
      </x:c>
      <x:c r="C16" s="14" t="str">
        <x:v>首尾</x:v>
      </x:c>
      <x:c r="D16" s="14" t="str">
        <x:v>无</x:v>
      </x:c>
      <x:c r="E16" s="14" t="str">
        <x:v>取回首模块抽牌；取回末模块零费</x:v>
      </x:c>
      <x:c r="F16" s="14" t="str">
        <x:v>回收方向决定运转或爆发</x:v>
      </x:c>
      <x:c r="G16" s="14" t="str">
        <x:v>重点实测</x:v>
      </x:c>
      <x:c r="H16" s="14" t="str">
        <x:v>重算结构模块</x:v>
      </x:c>
    </x:row>
    <x:row r="17">
      <x:c r="A17" s="14" t="str">
        <x:v>二次投料</x:v>
      </x:c>
      <x:c r="B17" s="14" t="str">
        <x:v>罕见</x:v>
      </x:c>
      <x:c r="C17" s="14" t="str">
        <x:v>牌堆顺序/首尾类型</x:v>
      </x:c>
      <x:c r="D17" s="14" t="str">
        <x:v>按指定顺序铺设牌堆顶</x:v>
      </x:c>
      <x:c r="E17" s="14" t="str">
        <x:v>无</x:v>
      </x:c>
      <x:c r="F17" s="14" t="str">
        <x:v>决定后续抽入手牌的零件先后</x:v>
      </x:c>
      <x:c r="G17" s="14" t="str">
        <x:v>重点实测</x:v>
      </x:c>
      <x:c r="H17" s="14" t="str">
        <x:v>界面顺序需与实际抽牌一致</x:v>
      </x:c>
    </x:row>
    <x:row r="18">
      <x:c r="A18" s="14" t="str">
        <x:v>联锁工位</x:v>
      </x:c>
      <x:c r="B18" s="14" t="str">
        <x:v>罕见</x:v>
      </x:c>
      <x:c r="C18" s="14" t="str">
        <x:v>产物首尾/中间</x:v>
      </x:c>
      <x:c r="D18" s="14" t="str">
        <x:v>无</x:v>
      </x:c>
      <x:c r="E18" s="14" t="str">
        <x:v>首尾类型不同抽牌；存在中间模块加格挡</x:v>
      </x:c>
      <x:c r="F18" s="14" t="str">
        <x:v>混合类型且扩大到三模块以上</x:v>
      </x:c>
      <x:c r="G18" s="14" t="str">
        <x:v>重点实测</x:v>
      </x:c>
      <x:c r="H18" s="14" t="str">
        <x:v>废料模块不计类型</x:v>
      </x:c>
    </x:row>
    <x:row r="19">
      <x:c r="A19" s="14" t="str">
        <x:v>补料指令</x:v>
      </x:c>
      <x:c r="B19" s="14" t="str">
        <x:v>罕见</x:v>
      </x:c>
      <x:c r="C19" s="14" t="str">
        <x:v>产物手牌位置</x:v>
      </x:c>
      <x:c r="D19" s="14" t="str">
        <x:v>最新产物最左补牌；最右补牌并返能；中间固定抽牌</x:v>
      </x:c>
      <x:c r="E19" s="14" t="str">
        <x:v>无</x:v>
      </x:c>
      <x:c r="F19" s="14" t="str">
        <x:v>装配落点决定后续资源</x:v>
      </x:c>
      <x:c r="G19" s="14" t="str">
        <x:v>高风险实测</x:v>
      </x:c>
      <x:c r="H19" s="14" t="str">
        <x:v>每回合限1张</x:v>
      </x:c>
    </x:row>
    <x:row r="20">
      <x:c r="A20" s="14" t="str">
        <x:v>模块回流</x:v>
      </x:c>
      <x:c r="B20" s="14" t="str">
        <x:v>稀有</x:v>
      </x:c>
      <x:c r="C20" s="14" t="str">
        <x:v>产物首尾</x:v>
      </x:c>
      <x:c r="D20" s="14" t="str">
        <x:v>无</x:v>
      </x:c>
      <x:c r="E20" s="14" t="str">
        <x:v>故障时回收首端偏抽牌；末端偏续航</x:v>
      </x:c>
      <x:c r="F20" s="14" t="str">
        <x:v>故障后选择缩短哪一端</x:v>
      </x:c>
      <x:c r="G20" s="14" t="str">
        <x:v>高风险实测</x:v>
      </x:c>
      <x:c r="H20" s="14" t="str">
        <x:v>先移除模块再重算耐久</x:v>
      </x:c>
    </x:row>
    <x:row r="21">
      <x:c r="A21" s="14" t="str">
        <x:v>整线重排</x:v>
      </x:c>
      <x:c r="B21" s="14" t="str">
        <x:v>稀有</x:v>
      </x:c>
      <x:c r="C21" s="14" t="str">
        <x:v>全局相邻/双端</x:v>
      </x:c>
      <x:c r="D21" s="14" t="str">
        <x:v>连续零件对提供抽牌；双端均为零件返能</x:v>
      </x:c>
      <x:c r="E21" s="14" t="str">
        <x:v>同时优化所有模块组合</x:v>
      </x:c>
      <x:c r="F21" s="14" t="str">
        <x:v>把整手牌布局转化为资源</x:v>
      </x:c>
      <x:c r="G21" s="14" t="str">
        <x:v>高风险实测</x:v>
      </x:c>
      <x:c r="H21" s="14" t="str">
        <x:v>相邻对允许重叠</x:v>
      </x:c>
    </x:row>
    <x:row r="22">
      <x:c r="A22" t="str">
        <x:v>端点回收</x:v>
      </x:c>
      <x:c r="B22" t="str">
        <x:v>普通</x:v>
      </x:c>
      <x:c r="C22" t="str">
        <x:v>手牌双端</x:v>
      </x:c>
      <x:c r="D22" t="str">
        <x:v>最左机械、最右生物分别被处理</x:v>
      </x:c>
      <x:c r="E22" t="str">
        <x:v>无</x:v>
      </x:c>
      <x:c r="F22" t="str">
        <x:v>提前把两类废料送到正确端点</x:v>
      </x:c>
      <x:c r="G22" t="str">
        <x:v>重点实测</x:v>
      </x:c>
      <x:c r="H22" t="str">
        <x:v>先左后右处理</x:v>
      </x:c>
    </x:row>
    <x:row r="23">
      <x:c r="A23" t="str">
        <x:v>切屑喷射</x:v>
      </x:c>
      <x:c r="B23" t="str">
        <x:v>普通</x:v>
      </x:c>
      <x:c r="C23" t="str">
        <x:v>右邻接</x:v>
      </x:c>
      <x:c r="D23" t="str">
        <x:v>右侧机械废料被处理并增加伤害</x:v>
      </x:c>
      <x:c r="E23" t="str">
        <x:v>模块固定伤害</x:v>
      </x:c>
      <x:c r="F23" t="str">
        <x:v>攻击牌右侧是否保留机械废料</x:v>
      </x:c>
      <x:c r="G23" t="str">
        <x:v>重点实测</x:v>
      </x:c>
      <x:c r="H23" t="str">
        <x:v>处理后次级传送带留在原位</x:v>
      </x:c>
    </x:row>
    <x:row r="24">
      <x:c r="A24" t="str">
        <x:v>代谢泵</x:v>
      </x:c>
      <x:c r="B24" t="str">
        <x:v>普通</x:v>
      </x:c>
      <x:c r="C24" t="str">
        <x:v>左右邻接</x:v>
      </x:c>
      <x:c r="D24" t="str">
        <x:v>处理两侧生物废料并按数量加格挡</x:v>
      </x:c>
      <x:c r="E24" t="str">
        <x:v>模块固定格挡</x:v>
      </x:c>
      <x:c r="F24" t="str">
        <x:v>把生物废料夹在代谢泵两侧</x:v>
      </x:c>
      <x:c r="G24" t="str">
        <x:v>重点实测</x:v>
      </x:c>
      <x:c r="H24" t="str">
        <x:v>左后右处理</x:v>
      </x:c>
    </x:row>
    <x:row r="25">
      <x:c r="A25" t="str">
        <x:v>极性分选</x:v>
      </x:c>
      <x:c r="B25" t="str">
        <x:v>普通</x:v>
      </x:c>
      <x:c r="C25" t="str">
        <x:v>双类型交换</x:v>
      </x:c>
      <x:c r="D25" t="str">
        <x:v>交换机械与生物废料的位置并抽1</x:v>
      </x:c>
      <x:c r="E25" t="str">
        <x:v>无</x:v>
      </x:c>
      <x:c r="F25" t="str">
        <x:v>修正左右极性布局</x:v>
      </x:c>
      <x:c r="G25" t="str">
        <x:v>重点实测</x:v>
      </x:c>
      <x:c r="H25" t="str">
        <x:v>要求两类废料同时存在</x:v>
      </x:c>
    </x:row>
    <x:row r="26">
      <x:c r="A26" t="str">
        <x:v>机生耦合器</x:v>
      </x:c>
      <x:c r="B26" t="str">
        <x:v>罕见</x:v>
      </x:c>
      <x:c r="C26" t="str">
        <x:v>左右夹持</x:v>
      </x:c>
      <x:c r="D26" t="str">
        <x:v>左右分别为两种废料时完整处理并获得抽牌与能量</x:v>
      </x:c>
      <x:c r="E26" t="str">
        <x:v>无</x:v>
      </x:c>
      <x:c r="F26" t="str">
        <x:v>把两种废料夹住耦合器</x:v>
      </x:c>
      <x:c r="G26" t="str">
        <x:v>高风险实测</x:v>
      </x:c>
      <x:c r="H26" t="str">
        <x:v>两种左右顺序均可</x:v>
      </x:c>
    </x:row>
    <x:row r="27">
      <x:c r="A27" t="str">
        <x:v>远程回收</x:v>
      </x:c>
      <x:c r="B27" t="str">
        <x:v>罕见</x:v>
      </x:c>
      <x:c r="C27" t="str">
        <x:v>次级产物双端</x:v>
      </x:c>
      <x:c r="D27" t="str">
        <x:v>机械次级产物进入最左，生物次级产物进入最右</x:v>
      </x:c>
      <x:c r="E27" t="str">
        <x:v>无</x:v>
      </x:c>
      <x:c r="F27" t="str">
        <x:v>远程回收同时安排后续手牌位置</x:v>
      </x:c>
      <x:c r="G27" t="str">
        <x:v>重点实测</x:v>
      </x:c>
      <x:c r="H27" t="str">
        <x:v>玩家决定处理顺序</x:v>
      </x:c>
    </x:row>
    <x:row r="28">
      <x:c r="A28" t="str">
        <x:v>就地回收</x:v>
      </x:c>
      <x:c r="B28" t="str">
        <x:v>罕见</x:v>
      </x:c>
      <x:c r="C28" t="str">
        <x:v>产物左右邻接</x:v>
      </x:c>
      <x:c r="D28" t="str">
        <x:v>处理产物两侧废料并按数量维修</x:v>
      </x:c>
      <x:c r="E28" t="str">
        <x:v>无</x:v>
      </x:c>
      <x:c r="F28" t="str">
        <x:v>把产品放在废料之间</x:v>
      </x:c>
      <x:c r="G28" t="str">
        <x:v>重点实测</x:v>
      </x:c>
      <x:c r="H28" t="str">
        <x:v>先处理再统一维修</x:v>
      </x:c>
    </x:row>
    <x:row r="29">
      <x:c r="A29" t="str">
        <x:v>零废弃工厂</x:v>
      </x:c>
      <x:c r="B29" t="str">
        <x:v>稀有</x:v>
      </x:c>
      <x:c r="C29" t="str">
        <x:v>装配落点邻接</x:v>
      </x:c>
      <x:c r="D29" t="str">
        <x:v>新产物左机械、右生物自动处理</x:v>
      </x:c>
      <x:c r="E29" t="str">
        <x:v>无</x:v>
      </x:c>
      <x:c r="F29" t="str">
        <x:v>装配前规划产物落点和两侧废料</x:v>
      </x:c>
      <x:c r="G29" t="str">
        <x:v>高风险实测</x:v>
      </x:c>
      <x:c r="H29" t="str">
        <x:v>每回合首次装配触发</x:v>
      </x:c>
    </x:row>
    <x:row r="30">
      <x:c r="A30" t="str">
        <x:v>顶仓检视</x:v>
      </x:c>
      <x:c r="B30" t="str">
        <x:v>普通</x:v>
      </x:c>
      <x:c r="C30" t="str">
        <x:v>牌堆顶→手牌端点</x:v>
      </x:c>
      <x:c r="D30" t="str">
        <x:v>从顶3张取零件到最左；升级可选左右端</x:v>
      </x:c>
      <x:c r="E30" t="str">
        <x:v>无</x:v>
      </x:c>
      <x:c r="F30" t="str">
        <x:v>检索哪张零件并决定其进入生产线的端点</x:v>
      </x:c>
      <x:c r="G30" t="str">
        <x:v>重点实测</x:v>
      </x:c>
      <x:c r="H30" t="str">
        <x:v>未取牌时不改变其余牌顺序</x:v>
      </x:c>
    </x:row>
    <x:row r="31">
      <x:c r="A31" t="str">
        <x:v>底仓吊运</x:v>
      </x:c>
      <x:c r="B31" t="str">
        <x:v>普通</x:v>
      </x:c>
      <x:c r="C31" t="str">
        <x:v>牌堆底→右端</x:v>
      </x:c>
      <x:c r="D31" t="str">
        <x:v>底牌进入最右侧，零件本回合减费</x:v>
      </x:c>
      <x:c r="E31" t="str">
        <x:v>无</x:v>
      </x:c>
      <x:c r="F31" t="str">
        <x:v>是否提前把目标牌沉底等待吊运</x:v>
      </x:c>
      <x:c r="G31" t="str">
        <x:v>重点实测</x:v>
      </x:c>
      <x:c r="H31" t="str">
        <x:v>空抽牌堆时先洗牌</x:v>
      </x:c>
    </x:row>
    <x:row r="32">
      <x:c r="A32" t="str">
        <x:v>顶层预装</x:v>
      </x:c>
      <x:c r="B32" t="str">
        <x:v>罕见</x:v>
      </x:c>
      <x:c r="C32" t="str">
        <x:v>抽牌堆顶顺序</x:v>
      </x:c>
      <x:c r="D32" t="str">
        <x:v>无</x:v>
      </x:c>
      <x:c r="E32" t="str">
        <x:v>按牌堆顶从上到下直接形成模块顺序</x:v>
      </x:c>
      <x:c r="F32" t="str">
        <x:v>用堆顶顺序绕过手牌进行装配</x:v>
      </x:c>
      <x:c r="G32" t="str">
        <x:v>高风险实测</x:v>
      </x:c>
      <x:c r="H32" t="str">
        <x:v>产物进入手牌最左侧</x:v>
      </x:c>
    </x:row>
    <x:row r="33">
      <x:c r="A33" t="str">
        <x:v>先入先出</x:v>
      </x:c>
      <x:c r="B33" t="str">
        <x:v>稀有</x:v>
      </x:c>
      <x:c r="C33" t="str">
        <x:v>抽牌顺序→双端</x:v>
      </x:c>
      <x:c r="D33" t="str">
        <x:v>第1张零件移到最左，第2张移到最右</x:v>
      </x:c>
      <x:c r="E33" t="str">
        <x:v>无</x:v>
      </x:c>
      <x:c r="F33" t="str">
        <x:v>通过抽牌顺序自动建立双端零件布局</x:v>
      </x:c>
      <x:c r="G33" t="str">
        <x:v>高风险实测</x:v>
      </x:c>
      <x:c r="H33" t="str">
        <x:v>只统计正常抽牌事件</x:v>
      </x:c>
    </x:row>
    <x:row r="34">
      <x:c r="A34" t="str">
        <x:v>返工取件</x:v>
      </x:c>
      <x:c r="B34" t="str">
        <x:v>普通</x:v>
      </x:c>
      <x:c r="C34" t="str">
        <x:v>弃牌最近→双端</x:v>
      </x:c>
      <x:c r="D34" t="str">
        <x:v>攻击零件回最左，技能零件回最右</x:v>
      </x:c>
      <x:c r="E34" t="str">
        <x:v>无</x:v>
      </x:c>
      <x:c r="F34" t="str">
        <x:v>最近使用顺序决定可返工零件与落点</x:v>
      </x:c>
      <x:c r="G34" t="str">
        <x:v>重点实测</x:v>
      </x:c>
      <x:c r="H34" t="str">
        <x:v>从弃牌顶向下找第一张零件</x:v>
      </x:c>
    </x:row>
    <x:row r="35">
      <x:c r="A35" t="str">
        <x:v>返工抽检</x:v>
      </x:c>
      <x:c r="B35" t="str">
        <x:v>罕见</x:v>
      </x:c>
      <x:c r="C35" t="str">
        <x:v>弃牌顶部窗口→右端</x:v>
      </x:c>
      <x:c r="D35" t="str">
        <x:v>选取最近3张中的零件；顶牌返工为0费</x:v>
      </x:c>
      <x:c r="E35" t="str">
        <x:v>无</x:v>
      </x:c>
      <x:c r="F35" t="str">
        <x:v>选择最近免费零件或更合适的深层零件</x:v>
      </x:c>
      <x:c r="G35" t="str">
        <x:v>重点实测</x:v>
      </x:c>
      <x:c r="H35" t="str">
        <x:v>未选择牌保持弃牌顺序</x:v>
      </x:c>
    </x:row>
    <x:row r="36">
      <x:c r="A36" t="str">
        <x:v>逆流换仓</x:v>
      </x:c>
      <x:c r="B36" t="str">
        <x:v>罕见</x:v>
      </x:c>
      <x:c r="C36" t="str">
        <x:v>两堆顶层→手牌端点</x:v>
      </x:c>
      <x:c r="D36" t="str">
        <x:v>交换两堆顶牌，抽到零件后可放左右端</x:v>
      </x:c>
      <x:c r="E36" t="str">
        <x:v>无</x:v>
      </x:c>
      <x:c r="F36" t="str">
        <x:v>决定弃牌顶牌进入哪一端并重设抽牌顶</x:v>
      </x:c>
      <x:c r="G36" t="str">
        <x:v>重点实测</x:v>
      </x:c>
      <x:c r="H36" t="str">
        <x:v>本牌结算后才进弃牌堆</x:v>
      </x:c>
    </x:row>
    <x:row r="37">
      <x:c r="A37" t="str">
        <x:v>封存样件</x:v>
      </x:c>
      <x:c r="B37" t="str">
        <x:v>普通</x:v>
      </x:c>
      <x:c r="C37" t="str">
        <x:v>手牌双端→消耗堆</x:v>
      </x:c>
      <x:c r="D37" t="str">
        <x:v>只能封存最左或最右零件并抽2</x:v>
      </x:c>
      <x:c r="E37" t="str">
        <x:v>为蓝图调用提供来源</x:v>
      </x:c>
      <x:c r="F37" t="str">
        <x:v>选择牺牲哪一端零件换取运转与蓝图</x:v>
      </x:c>
      <x:c r="G37" t="str">
        <x:v>重点实测</x:v>
      </x:c>
      <x:c r="H37" t="str">
        <x:v>升级解除端点限制</x:v>
      </x:c>
    </x:row>
    <x:row r="38">
      <x:c r="A38" t="str">
        <x:v>蓝图调用</x:v>
      </x:c>
      <x:c r="B38" t="str">
        <x:v>罕见</x:v>
      </x:c>
      <x:c r="C38" t="str">
        <x:v>蓝图首尾</x:v>
      </x:c>
      <x:c r="D38" t="str">
        <x:v>无</x:v>
      </x:c>
      <x:c r="E38" t="str">
        <x:v>基础追加末模块；升级可选择首端或末端</x:v>
      </x:c>
      <x:c r="F38" t="str">
        <x:v>复制的模块位置决定前置/后置关系</x:v>
      </x:c>
      <x:c r="G38" t="str">
        <x:v>高风险实测</x:v>
      </x:c>
      <x:c r="H38" t="str">
        <x:v>最大耐久最低1</x:v>
      </x:c>
    </x:row>
    <x:row r="39">
      <x:c r="A39" t="str">
        <x:v>旧版复刻</x:v>
      </x:c>
      <x:c r="B39" t="str">
        <x:v>罕见</x:v>
      </x:c>
      <x:c r="C39" t="str">
        <x:v>消耗堆→手牌端点</x:v>
      </x:c>
      <x:c r="D39" t="str">
        <x:v>临时零件默认最右；升级可选左右端</x:v>
      </x:c>
      <x:c r="E39" t="str">
        <x:v>复制品可装配</x:v>
      </x:c>
      <x:c r="F39" t="str">
        <x:v>选择直接打出还是放到合适端点装配</x:v>
      </x:c>
      <x:c r="G39" t="str">
        <x:v>高风险实测</x:v>
      </x:c>
      <x:c r="H39" t="str">
        <x:v>复制品不返回永久牌组</x:v>
      </x:c>
    </x:row>
    <x:row r="40">
      <x:c r="A40" t="str">
        <x:v>蓝图库</x:v>
      </x:c>
      <x:c r="B40" t="str">
        <x:v>稀有</x:v>
      </x:c>
      <x:c r="C40" t="str">
        <x:v>最近消耗→末模块</x:v>
      </x:c>
      <x:c r="D40" t="str">
        <x:v>无</x:v>
      </x:c>
      <x:c r="E40" t="str">
        <x:v>每回合首次装配自动追加最近消耗零件的模块到末端</x:v>
      </x:c>
      <x:c r="F40" t="str">
        <x:v>封存顺序决定自动蓝图模块</x:v>
      </x:c>
      <x:c r="G40" t="str">
        <x:v>高风险实测</x:v>
      </x:c>
      <x:c r="H40" t="str">
        <x:v>主动蓝图先于自动蓝图库结算</x:v>
      </x:c>
    </x:row>
  </x:sheetData>
  <x:mergeCells>
    <x:mergeCell ref="A1:H1"/>
  </x:mergeCells>
  <x:pageMargins left="0.7" right="0.7" top="0.75" bottom="0.75" header="0.3" footer="0.3"/>
  <x:tableParts count="3">
    <x:tablePart xmlns:r="http://schemas.openxmlformats.org/officeDocument/2006/relationships" r:id="R3e567f6c805640a6"/>
    <x:tablePart xmlns:r="http://schemas.openxmlformats.org/officeDocument/2006/relationships" r:id="R3d4e6654612f417d"/>
    <x:tablePart xmlns:r="http://schemas.openxmlformats.org/officeDocument/2006/relationships" r:id="R5f01867311344e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6" hidden="0" customWidth="1"/>
    <x:col min="5" max="5" width="38" hidden="0" customWidth="1"/>
    <x:col min="6" max="6" width="28" hidden="0" customWidth="1"/>
    <x:col min="7" max="7" width="28" hidden="0" customWidth="1"/>
    <x:col min="8" max="8" width="34" hidden="0" customWidth="1"/>
    <x:col min="10" max="10" width="18" hidden="0" customWidth="1"/>
    <x:col min="11" max="11" width="28" hidden="0" customWidth="1"/>
    <x:col min="12" max="12" width="42" hidden="0" customWidth="1"/>
    <x:col min="13" max="13" width="40" hidden="0" customWidth="1"/>
  </x:cols>
  <x:sheetData>
    <x:row r="1">
      <x:c r="A1" s="72" t="str">
        <x:v>双废料体系 v0.6</x:v>
      </x:c>
      <x:c r="B1" s="72"/>
      <x:c r="C1" s="72"/>
      <x:c r="D1" s="72"/>
      <x:c r="E1" s="72"/>
      <x:c r="F1" s="72"/>
      <x:c r="G1" s="72"/>
      <x:c r="H1" s="72"/>
      <x:c r="J1" s="68" t="str">
        <x:v>关键词</x:v>
      </x:c>
      <x:c r="K1" s="68" t="str">
        <x:v>定义</x:v>
      </x:c>
      <x:c r="L1" s="68" t="str">
        <x:v>触发次级产物</x:v>
      </x:c>
      <x:c r="M1" s="68" t="str">
        <x:v>示例</x:v>
      </x:c>
    </x:row>
    <x:row r="2">
      <x:c r="J2" s="12" t="str">
        <x:v>处理</x:v>
      </x:c>
      <x:c r="K2" s="12" t="str">
        <x:v>消耗废料并生成对应次级产物</x:v>
      </x:c>
      <x:c r="L2" s="12" t="str">
        <x:v>是</x:v>
      </x:c>
      <x:c r="M2" s="12" t="str">
        <x:v>废料分拣、端点回收、双路回收</x:v>
      </x:c>
    </x:row>
    <x:row r="3">
      <x:c r="A3" s="77" t="str">
        <x:v>废料类型</x:v>
      </x:c>
      <x:c r="B3" s="77" t="str">
        <x:v>默认来源</x:v>
      </x:c>
      <x:c r="C3" s="77" t="str">
        <x:v>处理结果</x:v>
      </x:c>
      <x:c r="D3" s="77" t="str">
        <x:v>次级产物</x:v>
      </x:c>
      <x:c r="E3" s="77" t="str">
        <x:v>次级效果</x:v>
      </x:c>
      <x:c r="F3" s="77" t="str">
        <x:v>位置语言</x:v>
      </x:c>
      <x:c r="G3" s="77" t="str">
        <x:v>非处理去向</x:v>
      </x:c>
      <x:c r="H3" s="77" t="str">
        <x:v>平衡约束</x:v>
      </x:c>
      <x:c r="J3" s="12" t="str">
        <x:v>熔毁</x:v>
      </x:c>
      <x:c r="K3" s="12" t="str">
        <x:v>消耗废料换取即时数值</x:v>
      </x:c>
      <x:c r="L3" s="12" t="str">
        <x:v>否</x:v>
      </x:c>
      <x:c r="M3" s="12" t="str">
        <x:v>废料熔炼</x:v>
      </x:c>
    </x:row>
    <x:row r="4">
      <x:c r="A4" s="14" t="str">
        <x:v>机械废料</x:v>
      </x:c>
      <x:c r="B4" s="14" t="str">
        <x:v>基础装配、快速装配、三联装配、精密装配、工业奇迹</x:v>
      </x:c>
      <x:c r="C4" s="14" t="str">
        <x:v>消耗机械废料，并在原位置生成次级传送带</x:v>
      </x:c>
      <x:c r="D4" s="14" t="str">
        <x:v>次级传送带</x:v>
      </x:c>
      <x:c r="E4" s="14" t="str">
        <x:v>0费：抽1；消耗；虚无；不可装配</x:v>
      </x:c>
      <x:c r="F4" s="14" t="str">
        <x:v>偏左；常放在攻击零件右侧或手牌左端</x:v>
      </x:c>
      <x:c r="G4" s="14" t="str">
        <x:v>熔炼换格挡；填充为格挡模块；拆用维修</x:v>
      </x:c>
      <x:c r="H4" s="14" t="str">
        <x:v>来源稳定，但回收仅补偿抽牌损失，不直接产生净卡差</x:v>
      </x:c>
      <x:c r="I4" s="98"/>
      <x:c r="J4" s="14" t="str">
        <x:v>填充</x:v>
      </x:c>
      <x:c r="K4" s="14" t="str">
        <x:v>把废料作为产物模块</x:v>
      </x:c>
      <x:c r="L4" s="14" t="str">
        <x:v>否</x:v>
      </x:c>
      <x:c r="M4" s="14" t="str">
        <x:v>废料填充</x:v>
      </x:c>
    </x:row>
    <x:row r="5">
      <x:c r="A5" s="14" t="str">
        <x:v>生物废料</x:v>
      </x:c>
      <x:c r="B5" s="14" t="str">
        <x:v>培养舱及后续生物类零件</x:v>
      </x:c>
      <x:c r="C5" s="14" t="str">
        <x:v>消耗生物废料，并在原位置生成次级能量储罐</x:v>
      </x:c>
      <x:c r="D5" s="14" t="str">
        <x:v>次级能量储罐</x:v>
      </x:c>
      <x:c r="E5" s="14" t="str">
        <x:v>0费：获得1能量；消耗；虚无；不可装配</x:v>
      </x:c>
      <x:c r="F5" s="14" t="str">
        <x:v>偏右；常放在代谢泵两侧或手牌右端</x:v>
      </x:c>
      <x:c r="G5" s="14" t="str">
        <x:v>熔炼换格挡；填充为格挡模块；拆用维修</x:v>
      </x:c>
      <x:c r="H5" s="14" t="str">
        <x:v>来源必须少于机械废料；额外能量强化多采用每回合首次限制</x:v>
      </x:c>
      <x:c r="I5" s="98"/>
      <x:c r="J5" s="14" t="str">
        <x:v>拆用</x:v>
      </x:c>
      <x:c r="K5" s="14" t="str">
        <x:v>消耗废料维持设备</x:v>
      </x:c>
      <x:c r="L5" s="14" t="str">
        <x:v>否</x:v>
      </x:c>
      <x:c r="M5" s="14" t="str">
        <x:v>自修复核心</x:v>
      </x:c>
    </x:row>
    <x:row r="6">
      <x:c r="A6" s="98"/>
      <x:c r="B6" s="98"/>
      <x:c r="C6" s="98"/>
      <x:c r="D6" s="98"/>
      <x:c r="E6" s="98"/>
      <x:c r="F6" s="98"/>
      <x:c r="G6" s="98"/>
      <x:c r="H6" s="98"/>
      <x:c r="I6" s="98"/>
      <x:c r="J6" s="14" t="str">
        <x:v>原位替换</x:v>
      </x:c>
      <x:c r="K6" s="14" t="str">
        <x:v>次级产物占据被处理废料的当前手牌位置</x:v>
      </x:c>
      <x:c r="L6" s="14" t="str">
        <x:v>—</x:v>
      </x:c>
      <x:c r="M6" s="14" t="str">
        <x:v>处理多张时从左到右结算</x:v>
      </x:c>
    </x:row>
    <x:row r="7">
      <x:c r="A7" s="98"/>
      <x:c r="B7" s="98"/>
      <x:c r="C7" s="98"/>
      <x:c r="D7" s="98"/>
      <x:c r="E7" s="98"/>
      <x:c r="F7" s="98"/>
      <x:c r="G7" s="98"/>
      <x:c r="H7" s="98"/>
      <x:c r="I7" s="98"/>
      <x:c r="J7" s="14"/>
      <x:c r="K7" s="14"/>
      <x:c r="L7" s="14"/>
      <x:c r="M7" s="14"/>
    </x:row>
    <x:row r="8">
      <x:c r="A8" s="99" t="str">
        <x:v>卡牌名称</x:v>
      </x:c>
      <x:c r="B8" s="99" t="str">
        <x:v>稀有度</x:v>
      </x:c>
      <x:c r="C8" s="99" t="str">
        <x:v>费用</x:v>
      </x:c>
      <x:c r="D8" s="99" t="str">
        <x:v>类型</x:v>
      </x:c>
      <x:c r="E8" s="99" t="str">
        <x:v>核心效果</x:v>
      </x:c>
      <x:c r="F8" s="99" t="str">
        <x:v>位置要求</x:v>
      </x:c>
      <x:c r="G8" s="99" t="str">
        <x:v>升级</x:v>
      </x:c>
      <x:c r="H8" s="99" t="str">
        <x:v>风险</x:v>
      </x:c>
      <x:c r="I8" s="98"/>
      <x:c r="J8" s="100" t="str">
        <x:v>环节</x:v>
      </x:c>
      <x:c r="K8" s="100" t="str">
        <x:v>机械路线</x:v>
      </x:c>
      <x:c r="L8" s="100" t="str">
        <x:v>生物路线</x:v>
      </x:c>
      <x:c r="M8" s="100" t="str">
        <x:v>设计目的</x:v>
      </x:c>
    </x:row>
    <x:row r="9">
      <x:c r="A9" s="14" t="str">
        <x:v>端点回收</x:v>
      </x:c>
      <x:c r="B9" s="14" t="str">
        <x:v>普通</x:v>
      </x:c>
      <x:c r="C9" s="14" t="n">
        <x:v>0</x:v>
      </x:c>
      <x:c r="D9" s="14" t="str">
        <x:v>技能</x:v>
      </x:c>
      <x:c r="E9" s="14" t="str">
        <x:v>处理左端机械与右端生物废料</x:v>
      </x:c>
      <x:c r="F9" s="14" t="str">
        <x:v>手牌双端</x:v>
      </x:c>
      <x:c r="G9" s="14" t="str">
        <x:v>升级为双端任意废料</x:v>
      </x:c>
      <x:c r="H9" s="14" t="str">
        <x:v>中</x:v>
      </x:c>
      <x:c r="I9" s="98"/>
      <x:c r="J9" s="14" t="str">
        <x:v>产生</x:v>
      </x:c>
      <x:c r="K9" s="14" t="str">
        <x:v>标准装配稳定产生</x:v>
      </x:c>
      <x:c r="L9" s="14" t="str">
        <x:v>培养舱主动产生</x:v>
      </x:c>
      <x:c r="M9" s="14" t="str">
        <x:v>两类来源频率不同</x:v>
      </x:c>
    </x:row>
    <x:row r="10">
      <x:c r="A10" s="14" t="str">
        <x:v>切屑喷射</x:v>
      </x:c>
      <x:c r="B10" s="14" t="str">
        <x:v>普通</x:v>
      </x:c>
      <x:c r="C10" s="14" t="n">
        <x:v>1</x:v>
      </x:c>
      <x:c r="D10" s="14" t="str">
        <x:v>攻击/零件</x:v>
      </x:c>
      <x:c r="E10" s="14" t="str">
        <x:v>右邻机械废料时处理并追加伤害</x:v>
      </x:c>
      <x:c r="F10" s="14" t="str">
        <x:v>机械废料必须在右侧</x:v>
      </x:c>
      <x:c r="G10" s="14" t="str">
        <x:v>提高伤害与模块</x:v>
      </x:c>
      <x:c r="H10" s="14" t="str">
        <x:v>中</x:v>
      </x:c>
      <x:c r="I10" s="98"/>
      <x:c r="J10" s="14" t="str">
        <x:v>位置准备</x:v>
      </x:c>
      <x:c r="K10" s="14" t="str">
        <x:v>端点回收、切屑喷射、极性分选</x:v>
      </x:c>
      <x:c r="L10" s="14" t="str">
        <x:v>端点回收、代谢泵、机生耦合器</x:v>
      </x:c>
      <x:c r="M10" s="14" t="str">
        <x:v>废料位置本身是资源</x:v>
      </x:c>
    </x:row>
    <x:row r="11">
      <x:c r="A11" s="14" t="str">
        <x:v>培养舱</x:v>
      </x:c>
      <x:c r="B11" s="14" t="str">
        <x:v>普通</x:v>
      </x:c>
      <x:c r="C11" s="14" t="n">
        <x:v>1</x:v>
      </x:c>
      <x:c r="D11" s="14" t="str">
        <x:v>技能/零件</x:v>
      </x:c>
      <x:c r="E11" s="14" t="str">
        <x:v>防御并产生生物废料；模块重复产废</x:v>
      </x:c>
      <x:c r="F11" s="14" t="str">
        <x:v>无直接位置条件</x:v>
      </x:c>
      <x:c r="G11" s="14" t="str">
        <x:v>提高格挡</x:v>
      </x:c>
      <x:c r="H11" s="14" t="str">
        <x:v>高</x:v>
      </x:c>
      <x:c r="I11" s="98"/>
      <x:c r="J11" s="14" t="str">
        <x:v>基础处理</x:v>
      </x:c>
      <x:c r="K11" s="14" t="str">
        <x:v>废料分拣→次级传送带</x:v>
      </x:c>
      <x:c r="L11" s="14" t="str">
        <x:v>废料分拣→次级能量储罐</x:v>
      </x:c>
      <x:c r="M11" s="14" t="str">
        <x:v>同一关键词，不同产物</x:v>
      </x:c>
    </x:row>
    <x:row r="12">
      <x:c r="A12" s="14" t="str">
        <x:v>代谢泵</x:v>
      </x:c>
      <x:c r="B12" s="14" t="str">
        <x:v>普通</x:v>
      </x:c>
      <x:c r="C12" s="14" t="n">
        <x:v>1</x:v>
      </x:c>
      <x:c r="D12" s="14" t="str">
        <x:v>技能/零件</x:v>
      </x:c>
      <x:c r="E12" s="14" t="str">
        <x:v>处理两侧生物废料并按数量获得格挡</x:v>
      </x:c>
      <x:c r="F12" s="14" t="str">
        <x:v>生物废料位于左右两侧</x:v>
      </x:c>
      <x:c r="G12" s="14" t="str">
        <x:v>提高格挡</x:v>
      </x:c>
      <x:c r="H12" s="14" t="str">
        <x:v>中</x:v>
      </x:c>
      <x:c r="I12" s="98"/>
      <x:c r="J12" s="14" t="str">
        <x:v>强化处理</x:v>
      </x:c>
      <x:c r="K12" s="14" t="str">
        <x:v>分类协议使首次传送带抽2</x:v>
      </x:c>
      <x:c r="L12" s="14" t="str">
        <x:v>分类协议使首次储罐回2能量</x:v>
      </x:c>
      <x:c r="M12" s="14" t="str">
        <x:v>每回合首次限制爆发</x:v>
      </x:c>
    </x:row>
    <x:row r="13">
      <x:c r="A13" s="14" t="str">
        <x:v>极性分选</x:v>
      </x:c>
      <x:c r="B13" s="14" t="str">
        <x:v>普通</x:v>
      </x:c>
      <x:c r="C13" s="14" t="n">
        <x:v>0</x:v>
      </x:c>
      <x:c r="D13" s="14" t="str">
        <x:v>技能</x:v>
      </x:c>
      <x:c r="E13" s="14" t="str">
        <x:v>交换一张机械与一张生物废料并抽1</x:v>
      </x:c>
      <x:c r="F13" s="14" t="str">
        <x:v>必须同时拥有两种废料</x:v>
      </x:c>
      <x:c r="G13" s="14" t="str">
        <x:v>移除消耗</x:v>
      </x:c>
      <x:c r="H13" s="14" t="str">
        <x:v>中</x:v>
      </x:c>
      <x:c r="I13" s="98"/>
      <x:c r="J13" s="14" t="str">
        <x:v>混合奖励</x:v>
      </x:c>
      <x:c r="K13" s="14" t="str">
        <x:v>双路回收、机生耦合器</x:v>
      </x:c>
      <x:c r="L13" s="14" t="str">
        <x:v>双路回收、机生耦合器</x:v>
      </x:c>
      <x:c r="M13" s="14" t="str">
        <x:v>鼓励双体系而非单一路线</x:v>
      </x:c>
    </x:row>
    <x:row r="14">
      <x:c r="A14" s="14" t="str">
        <x:v>双路回收</x:v>
      </x:c>
      <x:c r="B14" s="14" t="str">
        <x:v>罕见</x:v>
      </x:c>
      <x:c r="C14" s="14" t="n">
        <x:v>1</x:v>
      </x:c>
      <x:c r="D14" s="14" t="str">
        <x:v>技能</x:v>
      </x:c>
      <x:c r="E14" s="14" t="str">
        <x:v>各处理至多一张两类废料；双类型时抽1</x:v>
      </x:c>
      <x:c r="F14" s="14" t="str">
        <x:v>无位置要求</x:v>
      </x:c>
      <x:c r="G14" s="14" t="str">
        <x:v>费用降为0</x:v>
      </x:c>
      <x:c r="H14" s="14" t="str">
        <x:v>高</x:v>
      </x:c>
      <x:c r="I14" s="98"/>
      <x:c r="J14" s="14" t="str">
        <x:v>直接处置</x:v>
      </x:c>
      <x:c r="K14" s="14" t="str">
        <x:v>熔炼、填充、自修复核心</x:v>
      </x:c>
      <x:c r="L14" s="14" t="str">
        <x:v>熔炼、填充、自修复核心</x:v>
      </x:c>
      <x:c r="M14" s="14" t="str">
        <x:v>放弃次级产物换即时收益</x:v>
      </x:c>
    </x:row>
    <x:row r="15">
      <x:c r="A15" s="14" t="str">
        <x:v>机生耦合器</x:v>
      </x:c>
      <x:c r="B15" s="14" t="str">
        <x:v>罕见</x:v>
      </x:c>
      <x:c r="C15" s="14" t="n">
        <x:v>1</x:v>
      </x:c>
      <x:c r="D15" s="14" t="str">
        <x:v>技能</x:v>
      </x:c>
      <x:c r="E15" s="14" t="str">
        <x:v>两种废料夹持时处理两张并获得抽牌与能量</x:v>
      </x:c>
      <x:c r="F15" s="14" t="str">
        <x:v>左右各一种废料</x:v>
      </x:c>
      <x:c r="G15" s="14" t="str">
        <x:v>费用降为0</x:v>
      </x:c>
      <x:c r="H15" s="14" t="str">
        <x:v>高</x:v>
      </x:c>
      <x:c r="I15" s="98"/>
      <x:c r="J15" s="14" t="str">
        <x:v>终局成长</x:v>
      </x:c>
      <x:c r="K15" s="14" t="str">
        <x:v>异质增殖提高产物输出模块</x:v>
      </x:c>
      <x:c r="L15" s="14" t="str">
        <x:v>异质增殖提高产物输出模块</x:v>
      </x:c>
      <x:c r="M15" s="14" t="str">
        <x:v>给废料构筑提供成长终点</x:v>
      </x:c>
    </x:row>
    <x:row r="16">
      <x:c r="A16" s="14" t="str">
        <x:v>远程回收</x:v>
      </x:c>
      <x:c r="B16" s="14" t="str">
        <x:v>罕见</x:v>
      </x:c>
      <x:c r="C16" s="14" t="n">
        <x:v>1</x:v>
      </x:c>
      <x:c r="D16" s="14" t="str">
        <x:v>技能</x:v>
      </x:c>
      <x:c r="E16" s="14" t="str">
        <x:v>处理弃牌堆废料，并把两类次级产物放到双端</x:v>
      </x:c>
      <x:c r="F16" s="14" t="str">
        <x:v>机械左、生物右</x:v>
      </x:c>
      <x:c r="G16" s="14" t="str">
        <x:v>处理上限2→3</x:v>
      </x:c>
      <x:c r="H16" s="14" t="str">
        <x:v>中</x:v>
      </x:c>
      <x:c r="I16" s="98"/>
      <x:c r="J16" s="14"/>
      <x:c r="K16" s="14"/>
      <x:c r="L16" s="14"/>
      <x:c r="M16" s="14"/>
    </x:row>
    <x:row r="17">
      <x:c r="A17" s="14" t="str">
        <x:v>分类协议</x:v>
      </x:c>
      <x:c r="B17" s="14" t="str">
        <x:v>罕见</x:v>
      </x:c>
      <x:c r="C17" s="14" t="n">
        <x:v>2</x:v>
      </x:c>
      <x:c r="D17" s="14" t="str">
        <x:v>能力</x:v>
      </x:c>
      <x:c r="E17" s="14" t="str">
        <x:v>每回合首次两类处理分别强化次级产物</x:v>
      </x:c>
      <x:c r="F17" s="14" t="str">
        <x:v>无位置要求</x:v>
      </x:c>
      <x:c r="G17" s="14" t="str">
        <x:v>费用2→1</x:v>
      </x:c>
      <x:c r="H17" s="14" t="str">
        <x:v>高</x:v>
      </x:c>
      <x:c r="I17" s="98"/>
      <x:c r="J17" s="101" t="str">
        <x:v>卡池指标</x:v>
      </x:c>
      <x:c r="K17" s="101" t="str">
        <x:v>数值</x:v>
      </x:c>
      <x:c r="L17" s="14"/>
      <x:c r="M17" s="14"/>
    </x:row>
    <x:row r="18">
      <x:c r="A18" s="14" t="str">
        <x:v>就地回收</x:v>
      </x:c>
      <x:c r="B18" s="14" t="str">
        <x:v>罕见</x:v>
      </x:c>
      <x:c r="C18" s="14" t="n">
        <x:v>1</x:v>
      </x:c>
      <x:c r="D18" s="14" t="str">
        <x:v>技能</x:v>
      </x:c>
      <x:c r="E18" s="14" t="str">
        <x:v>处理产物两侧废料并按数量维修</x:v>
      </x:c>
      <x:c r="F18" s="14" t="str">
        <x:v>产物被废料夹持</x:v>
      </x:c>
      <x:c r="G18" s="14" t="str">
        <x:v>产物费用降低1</x:v>
      </x:c>
      <x:c r="H18" s="14" t="str">
        <x:v>中</x:v>
      </x:c>
      <x:c r="I18" s="98"/>
      <x:c r="J18" s="14" t="str">
        <x:v>新增奖励牌</x:v>
      </x:c>
      <x:c r="K18" s="14" t="n">
        <x:f>COUNTA(A9:A20)</x:f>
        <x:v>12</x:v>
      </x:c>
      <x:c r="L18" s="14"/>
      <x:c r="M18" s="14"/>
    </x:row>
    <x:row r="19">
      <x:c r="A19" s="14" t="str">
        <x:v>零废弃工厂</x:v>
      </x:c>
      <x:c r="B19" s="14" t="str">
        <x:v>稀有</x:v>
      </x:c>
      <x:c r="C19" s="14" t="n">
        <x:v>2</x:v>
      </x:c>
      <x:c r="D19" s="14" t="str">
        <x:v>能力</x:v>
      </x:c>
      <x:c r="E19" s="14" t="str">
        <x:v>首次装配后自动处理新产物左右指定废料</x:v>
      </x:c>
      <x:c r="F19" s="14" t="str">
        <x:v>左机械、右生物</x:v>
      </x:c>
      <x:c r="G19" s="14" t="str">
        <x:v>升级为左右任意废料</x:v>
      </x:c>
      <x:c r="H19" s="14" t="str">
        <x:v>高</x:v>
      </x:c>
      <x:c r="I19" s="98"/>
      <x:c r="J19" s="14" t="str">
        <x:v>普通</x:v>
      </x:c>
      <x:c r="K19" s="14" t="n">
        <x:f>COUNTIF(B9:B20,"普通")</x:f>
        <x:v>5</x:v>
      </x:c>
      <x:c r="L19" s="14"/>
      <x:c r="M19" s="14"/>
    </x:row>
    <x:row r="20">
      <x:c r="A20" s="14" t="str">
        <x:v>异质增殖</x:v>
      </x:c>
      <x:c r="B20" s="14" t="str">
        <x:v>稀有</x:v>
      </x:c>
      <x:c r="C20" s="14" t="n">
        <x:v>2</x:v>
      </x:c>
      <x:c r="D20" s="14" t="str">
        <x:v>能力</x:v>
      </x:c>
      <x:c r="E20" s="14" t="str">
        <x:v>每回合同时处理两类废料后获得产能</x:v>
      </x:c>
      <x:c r="F20" s="14" t="str">
        <x:v>同回合双类型处理</x:v>
      </x:c>
      <x:c r="G20" s="14" t="str">
        <x:v>费用降低并抽1</x:v>
      </x:c>
      <x:c r="H20" s="14" t="str">
        <x:v>高</x:v>
      </x:c>
      <x:c r="I20" s="98"/>
      <x:c r="J20" s="14" t="str">
        <x:v>罕见</x:v>
      </x:c>
      <x:c r="K20" s="14" t="n">
        <x:f>COUNTIF(B9:B20,"罕见")</x:f>
        <x:v>5</x:v>
      </x:c>
      <x:c r="L20" s="14"/>
      <x:c r="M20" s="14"/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14" t="str">
        <x:v>稀有</x:v>
      </x:c>
      <x:c r="K21" s="14" t="n">
        <x:f>COUNTIF(B9:B20,"稀有")</x:f>
        <x:v>2</x:v>
      </x:c>
      <x:c r="L21" s="14"/>
      <x:c r="M21" s="14"/>
    </x:row>
    <x:row r="22">
      <x:c r="A22" s="98"/>
      <x:c r="B22" s="98"/>
      <x:c r="C22" s="98"/>
      <x:c r="D22" s="98"/>
      <x:c r="E22" s="98"/>
      <x:c r="F22" s="98"/>
      <x:c r="G22" s="98"/>
      <x:c r="H22" s="98"/>
      <x:c r="I22" s="98"/>
      <x:c r="J22" s="14" t="str">
        <x:v>明确位置收益牌</x:v>
      </x:c>
      <x:c r="K22" s="14" t="n">
        <x:f>COUNTA(F9:F20)-COUNTIF(F9:F20,"无位置要求")-COUNTIF(F9:F20,"无直接位置条件")-COUNTIF(F9:F20,"同回合双类型处理")</x:f>
        <x:v>8</x:v>
      </x:c>
      <x:c r="L22" s="14"/>
      <x:c r="M22" s="14"/>
    </x:row>
    <x:row r="23">
      <x:c r="A23" s="98"/>
      <x:c r="B23" s="98"/>
      <x:c r="C23" s="98"/>
      <x:c r="D23" s="98"/>
      <x:c r="E23" s="98"/>
      <x:c r="F23" s="98"/>
      <x:c r="G23" s="98"/>
      <x:c r="H23" s="98"/>
      <x:c r="I23" s="98"/>
      <x:c r="J23" s="14" t="str">
        <x:v>处理类卡牌</x:v>
      </x:c>
      <x:c r="K23" s="14" t="n">
        <x:f>COUNTIF(A9:A20,"端点回收")+COUNTIF(A9:A20,"切屑喷射")+COUNTIF(A9:A20,"代谢泵")+COUNTIF(A9:A20,"双路回收")+COUNTIF(A9:A20,"机生耦合器")+COUNTIF(A9:A20,"远程回收")+COUNTIF(A9:A20,"就地回收")+COUNTIF(A9:A20,"零废弃工厂")</x:f>
        <x:v>8</x:v>
      </x:c>
      <x:c r="L23" s="14"/>
      <x:c r="M23" s="14"/>
    </x:row>
    <x:row r="24">
      <x:c r="A24" s="98"/>
      <x:c r="B24" s="98"/>
      <x:c r="C24" s="98"/>
      <x:c r="D24" s="98"/>
      <x:c r="E24" s="98"/>
      <x:c r="F24" s="98"/>
      <x:c r="G24" s="98"/>
      <x:c r="H24" s="98"/>
      <x:c r="I24" s="98"/>
      <x:c r="J24" s="14" t="str">
        <x:v>高风险牌</x:v>
      </x:c>
      <x:c r="K24" s="14" t="n">
        <x:f>COUNTIF(H9:H20,"高")</x:f>
        <x:v>6</x:v>
      </x:c>
      <x:c r="L24" s="14"/>
      <x:c r="M24" s="14"/>
    </x:row>
    <x:row r="25">
      <x:c r="A25" s="98"/>
      <x:c r="B25" s="98"/>
      <x:c r="C25" s="98"/>
      <x:c r="D25" s="98"/>
      <x:c r="E25" s="98"/>
      <x:c r="F25" s="98"/>
      <x:c r="G25" s="98"/>
      <x:c r="H25" s="98"/>
      <x:c r="I25" s="98"/>
      <x:c r="J25" s="14"/>
      <x:c r="K25" s="14"/>
      <x:c r="L25" s="14"/>
      <x:c r="M25" s="14"/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102" t="str">
        <x:v>风险</x:v>
      </x:c>
      <x:c r="K26" s="102" t="str">
        <x:v>主要组合</x:v>
      </x:c>
      <x:c r="L26" s="102" t="str">
        <x:v>控制方式</x:v>
      </x:c>
      <x:c r="M26" s="102" t="str">
        <x:v>验证重点</x:v>
      </x:c>
    </x:row>
    <x:row r="27">
      <x:c r="A27" s="98"/>
      <x:c r="B27" s="98"/>
      <x:c r="C27" s="98"/>
      <x:c r="D27" s="98"/>
      <x:c r="E27" s="98"/>
      <x:c r="F27" s="98"/>
      <x:c r="G27" s="98"/>
      <x:c r="H27" s="98"/>
      <x:c r="I27" s="98"/>
      <x:c r="J27" s="14" t="str">
        <x:v>无限能量</x:v>
      </x:c>
      <x:c r="K27" s="14" t="str">
        <x:v>生物废料 + 0费处理 + 分类协议</x:v>
      </x:c>
      <x:c r="L27" s="14" t="str">
        <x:v>生物来源稀少；强化每回合首次；次级产物不可装配</x:v>
      </x:c>
      <x:c r="M27" s="14" t="str">
        <x:v>单回合能量净增与抽牌模块联动</x:v>
      </x:c>
    </x:row>
    <x:row r="28">
      <x:c r="A28" s="98"/>
      <x:c r="B28" s="98"/>
      <x:c r="C28" s="98"/>
      <x:c r="D28" s="98"/>
      <x:c r="E28" s="98"/>
      <x:c r="F28" s="98"/>
      <x:c r="G28" s="98"/>
      <x:c r="H28" s="98"/>
      <x:c r="I28" s="98"/>
      <x:c r="J28" s="14" t="str">
        <x:v>无限过牌</x:v>
      </x:c>
      <x:c r="K28" s="14" t="str">
        <x:v>机械废料 + 送料器 + 次级传送带</x:v>
      </x:c>
      <x:c r="L28" s="14" t="str">
        <x:v>处理牌占用手牌；传送带仅抽1且消耗</x:v>
      </x:c>
      <x:c r="M28" s="14" t="str">
        <x:v>是否形成0费抽牌循环</x:v>
      </x:c>
    </x:row>
    <x:row r="29">
      <x:c r="A29" s="98"/>
      <x:c r="B29" s="98"/>
      <x:c r="C29" s="98"/>
      <x:c r="D29" s="98"/>
      <x:c r="E29" s="98"/>
      <x:c r="F29" s="98"/>
      <x:c r="G29" s="98"/>
      <x:c r="H29" s="98"/>
      <x:c r="I29" s="98"/>
      <x:c r="J29" s="14" t="str">
        <x:v>产物永动</x:v>
      </x:c>
      <x:c r="K29" s="14" t="str">
        <x:v>就地回收/自修复核心 + 生物能量</x:v>
      </x:c>
      <x:c r="L29" s="14" t="str">
        <x:v>维修有最大耐久；拆用不生成次级产物</x:v>
      </x:c>
      <x:c r="M29" s="14" t="str">
        <x:v>维修、回能和产品回手组合</x:v>
      </x:c>
    </x:row>
    <x:row r="30">
      <x:c r="A30" s="98"/>
      <x:c r="B30" s="98"/>
      <x:c r="C30" s="98"/>
      <x:c r="D30" s="98"/>
      <x:c r="E30" s="98"/>
      <x:c r="F30" s="98"/>
      <x:c r="G30" s="98"/>
      <x:c r="H30" s="98"/>
      <x:c r="I30" s="98"/>
      <x:c r="J30" s="14" t="str">
        <x:v>废料变纯奖励</x:v>
      </x:c>
      <x:c r="K30" s="14" t="str">
        <x:v>双路回收与混合奖励密度过高</x:v>
      </x:c>
      <x:c r="L30" s="14" t="str">
        <x:v>保留熔炼/填充取舍；废料仍占据抽牌和位置</x:v>
      </x:c>
      <x:c r="M30" s="14" t="str">
        <x:v>未抽到处理牌时的污染压力</x:v>
      </x:c>
    </x:row>
    <x:row r="31">
      <x:c r="A31" s="98"/>
      <x:c r="B31" s="98"/>
      <x:c r="C31" s="98"/>
      <x:c r="D31" s="98"/>
      <x:c r="E31" s="98"/>
      <x:c r="F31" s="98"/>
      <x:c r="G31" s="98"/>
      <x:c r="H31" s="98"/>
      <x:c r="I31" s="98"/>
      <x:c r="J31" s="14" t="str">
        <x:v>位置操作过长</x:v>
      </x:c>
      <x:c r="K31" s="14" t="str">
        <x:v>两类废料与产物同时排序</x:v>
      </x:c>
      <x:c r="L31" s="14" t="str">
        <x:v>每张牌通常只处理1至2个位置条件</x:v>
      </x:c>
      <x:c r="M31" s="14" t="str">
        <x:v>平均每回合排序次数与操作时间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0877089f6931425b"/>
    <x:tablePart xmlns:r="http://schemas.openxmlformats.org/officeDocument/2006/relationships" r:id="Rf271662169d342d8"/>
    <x:tablePart xmlns:r="http://schemas.openxmlformats.org/officeDocument/2006/relationships" r:id="Raa64d53cb4994e48"/>
    <x:tablePart xmlns:r="http://schemas.openxmlformats.org/officeDocument/2006/relationships" r:id="R38c89dde943c427b"/>
    <x:tablePart xmlns:r="http://schemas.openxmlformats.org/officeDocument/2006/relationships" r:id="Rb6b9c35950ff4576"/>
    <x:tablePart xmlns:r="http://schemas.openxmlformats.org/officeDocument/2006/relationships" r:id="R51d26bc3624f4d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9" hidden="0" customWidth="1"/>
    <x:col min="4" max="4" width="18" hidden="0" customWidth="1"/>
    <x:col min="5" max="5" width="38" hidden="0" customWidth="1"/>
    <x:col min="6" max="6" width="34" hidden="0" customWidth="1"/>
    <x:col min="7" max="7" width="28" hidden="0" customWidth="1"/>
    <x:col min="8" max="8" width="12" hidden="0" customWidth="1"/>
    <x:col min="10" max="10" width="22" hidden="0" customWidth="1"/>
    <x:col min="11" max="11" width="36" hidden="0" customWidth="1"/>
    <x:col min="12" max="12" width="44" hidden="0" customWidth="1"/>
    <x:col min="13" max="13" width="38" hidden="0" customWidth="1"/>
  </x:cols>
  <x:sheetData>
    <x:row r="1">
      <x:c r="A1" s="120" t="str">
        <x:v>牌堆运转体系 v0.7</x:v>
      </x:c>
      <x:c r="B1" s="120"/>
      <x:c r="C1" s="120"/>
      <x:c r="D1" s="120"/>
      <x:c r="E1" s="120"/>
      <x:c r="F1" s="120"/>
      <x:c r="G1" s="120"/>
      <x:c r="H1" s="120"/>
      <x:c r="J1" s="130" t="str">
        <x:v>组合</x:v>
      </x:c>
      <x:c r="K1" s="130" t="str">
        <x:v>步骤</x:v>
      </x:c>
      <x:c r="L1" s="130" t="str">
        <x:v>结果</x:v>
      </x:c>
      <x:c r="M1" s="130" t="str">
        <x:v>验证重点</x:v>
      </x:c>
    </x:row>
    <x:row r="2">
      <x:c r="J2" s="12" t="str">
        <x:v>预排产装配</x:v>
      </x:c>
      <x:c r="K2" s="12" t="str">
        <x:v>二次投料安排两张零件置顶 → 顶层预装</x:v>
      </x:c>
      <x:c r="L2" s="12" t="str">
        <x:v>无需抽入手牌即可按顺序形成产物</x:v>
      </x:c>
      <x:c r="M2" s="12" t="str">
        <x:v>牌堆顶顺序和升级选择界面</x:v>
      </x:c>
    </x:row>
    <x:row r="3">
      <x:c r="A3" s="116" t="str">
        <x:v>区域</x:v>
      </x:c>
      <x:c r="B3" s="116" t="str">
        <x:v>核心定位</x:v>
      </x:c>
      <x:c r="C3" s="116" t="str">
        <x:v>主要操作</x:v>
      </x:c>
      <x:c r="D3" s="116" t="str">
        <x:v>顺序价值</x:v>
      </x:c>
      <x:c r="E3" s="116" t="str">
        <x:v>与装配的联系</x:v>
      </x:c>
      <x:c r="F3" s="116" t="str">
        <x:v>典型成本</x:v>
      </x:c>
      <x:c r="G3" s="116" t="str">
        <x:v>主要风险</x:v>
      </x:c>
      <x:c r="H3" s="116" t="str">
        <x:v>代表卡牌</x:v>
      </x:c>
      <x:c r="J3" s="12" t="str">
        <x:v>底仓延迟件</x:v>
      </x:c>
      <x:c r="K3" s="12" t="str">
        <x:v>滚轮组把关键零件放到底部 → 底仓吊运</x:v>
      </x:c>
      <x:c r="L3" s="12" t="str">
        <x:v>在需要时把零件拉到手牌右端并减费</x:v>
      </x:c>
      <x:c r="M3" s="12" t="str">
        <x:v>洗牌后底牌是否正确</x:v>
      </x:c>
    </x:row>
    <x:row r="4">
      <x:c r="A4" s="14" t="str">
        <x:v>抽牌堆</x:v>
      </x:c>
      <x:c r="B4" s="14" t="str">
        <x:v>预排产与未来上料</x:v>
      </x:c>
      <x:c r="C4" s="14" t="str">
        <x:v>查看顶层、提取底牌、交换堆顶、直接预装</x:v>
      </x:c>
      <x:c r="D4" s="14" t="str">
        <x:v>顶部顺序决定抽取与模块顺序；底部可以储存延迟零件</x:v>
      </x:c>
      <x:c r="E4" s="14" t="str">
        <x:v>顶层预装可从牌堆直接形成产物；抽入手牌时自动布置双端</x:v>
      </x:c>
      <x:c r="F4" s="14" t="str">
        <x:v>收益延迟；需要提前规划</x:v>
      </x:c>
      <x:c r="G4" s="14" t="str">
        <x:v>定向检索过强或使牌组随机性消失</x:v>
      </x:c>
      <x:c r="H4" s="14" t="str">
        <x:v>顶仓检视、底仓吊运、顶层预装、先入先出</x:v>
      </x:c>
      <x:c r="I4" s="98"/>
      <x:c r="J4" s="14" t="str">
        <x:v>最近返工</x:v>
      </x:c>
      <x:c r="K4" s="14" t="str">
        <x:v>打出零件 → 返工取件</x:v>
      </x:c>
      <x:c r="L4" s="14" t="str">
        <x:v>重新取回最近零件并自动放置端点</x:v>
      </x:c>
      <x:c r="M4" s="14" t="str">
        <x:v>正在结算的返工取件不能选择自身</x:v>
      </x:c>
    </x:row>
    <x:row r="5">
      <x:c r="A5" s="14" t="str">
        <x:v>弃牌堆</x:v>
      </x:c>
      <x:c r="B5" s="14" t="str">
        <x:v>近期返工与循环回流</x:v>
      </x:c>
      <x:c r="C5" s="14" t="str">
        <x:v>寻找最近零件、顶部窗口选择、交换两堆顶牌</x:v>
      </x:c>
      <x:c r="D5" s="14" t="str">
        <x:v>最近进入弃牌堆的零件最容易返工，并可能获得减费</x:v>
      </x:c>
      <x:c r="E5" s="14" t="str">
        <x:v>返工零件可重新调整到手牌端点后再次装配</x:v>
      </x:c>
      <x:c r="F5" s="14" t="str">
        <x:v>依赖此前出牌顺序；通常带消耗或每回合限制</x:v>
      </x:c>
      <x:c r="G5" s="14" t="str">
        <x:v>低费零件反复返工形成循环</x:v>
      </x:c>
      <x:c r="H5" s="14" t="str">
        <x:v>返工取件、返工抽检、逆流换仓、返工总线</x:v>
      </x:c>
      <x:c r="I5" s="98"/>
      <x:c r="J5" s="14" t="str">
        <x:v>逆流换仓</x:v>
      </x:c>
      <x:c r="K5" s="14" t="str">
        <x:v>把目标零件留在弃牌顶 → 逆流换仓</x:v>
      </x:c>
      <x:c r="L5" s="14" t="str">
        <x:v>目标成为本次抽牌并可移动到端点</x:v>
      </x:c>
      <x:c r="M5" s="14" t="str">
        <x:v>交换和抽牌事件顺序</x:v>
      </x:c>
    </x:row>
    <x:row r="6">
      <x:c r="A6" s="14" t="str">
        <x:v>消耗堆</x:v>
      </x:c>
      <x:c r="B6" s="14" t="str">
        <x:v>蓝图封存与虚拟模块仓库</x:v>
      </x:c>
      <x:c r="C6" s="14" t="str">
        <x:v>主动封存零件、复制模块、生成临时复刻件</x:v>
      </x:c>
      <x:c r="D6" s="14" t="str">
        <x:v>最近封存顺序决定自动蓝图；蓝图模块首尾位置影响效果</x:v>
      </x:c>
      <x:c r="E6" s="14" t="str">
        <x:v>不取回原卡也可把其模块追加到新产物</x:v>
      </x:c>
      <x:c r="F6" s="14" t="str">
        <x:v>牺牲当前零件；产品最大耐久下降</x:v>
      </x:c>
      <x:c r="G6" s="14" t="str">
        <x:v>免费模块堆叠、临时复刻件和抽牌/能量形成循环</x:v>
      </x:c>
      <x:c r="H6" s="14" t="str">
        <x:v>封存样件、蓝图调用、旧版复刻、蓝图库</x:v>
      </x:c>
      <x:c r="I6" s="98"/>
      <x:c r="J6" s="14" t="str">
        <x:v>封存蓝图</x:v>
      </x:c>
      <x:c r="K6" s="14" t="str">
        <x:v>封存样件 → 蓝图调用 → 装配</x:v>
      </x:c>
      <x:c r="L6" s="14" t="str">
        <x:v>牺牲零件本体，把模块追加到新产物</x:v>
      </x:c>
      <x:c r="M6" s="14" t="str">
        <x:v>虚拟模块类型和位置继承</x:v>
      </x:c>
    </x:row>
    <x:row r="7">
      <x:c r="A7" s="14"/>
      <x:c r="B7" s="14"/>
      <x:c r="C7" s="14"/>
      <x:c r="D7" s="14"/>
      <x:c r="E7" s="14"/>
      <x:c r="F7" s="14"/>
      <x:c r="G7" s="14"/>
      <x:c r="H7" s="14"/>
      <x:c r="I7" s="98"/>
      <x:c r="J7" s="14" t="str">
        <x:v>自动蓝图库</x:v>
      </x:c>
      <x:c r="K7" s="14" t="str">
        <x:v>封存关键后置零件 → 蓝图库</x:v>
      </x:c>
      <x:c r="L7" s="14" t="str">
        <x:v>每回合首个产物自动获得该末模块</x:v>
      </x:c>
      <x:c r="M7" s="14" t="str">
        <x:v>最近消耗零件的更新时机</x:v>
      </x:c>
    </x:row>
    <x:row r="8">
      <x:c r="A8" s="141" t="str">
        <x:v>卡牌名称</x:v>
      </x:c>
      <x:c r="B8" s="141" t="str">
        <x:v>稀有度</x:v>
      </x:c>
      <x:c r="C8" s="141" t="str">
        <x:v>费用</x:v>
      </x:c>
      <x:c r="D8" s="141" t="str">
        <x:v>所属区域</x:v>
      </x:c>
      <x:c r="E8" s="141" t="str">
        <x:v>核心效果</x:v>
      </x:c>
      <x:c r="F8" s="141" t="str">
        <x:v>位置/顺序要求</x:v>
      </x:c>
      <x:c r="G8" s="141" t="str">
        <x:v>升级方向</x:v>
      </x:c>
      <x:c r="H8" s="141" t="str">
        <x:v>风险等级</x:v>
      </x:c>
      <x:c r="I8" s="98"/>
      <x:c r="J8" s="14" t="str">
        <x:v>返工与蓝图混合</x:v>
      </x:c>
      <x:c r="K8" s="14" t="str">
        <x:v>旧版复刻生成临时零件 → 装配 → 逆向工程</x:v>
      </x:c>
      <x:c r="L8" s="14" t="str">
        <x:v>临时复制品可以进入产物但不能永久复制</x:v>
      </x:c>
      <x:c r="M8" s="14" t="str">
        <x:v>拆解后的临时属性保存</x:v>
      </x:c>
    </x:row>
    <x:row r="9">
      <x:c r="A9" s="14" t="str">
        <x:v>顶仓检视</x:v>
      </x:c>
      <x:c r="B9" s="14" t="str">
        <x:v>普通</x:v>
      </x:c>
      <x:c r="C9" s="14" t="n">
        <x:v>0</x:v>
      </x:c>
      <x:c r="D9" s="14" t="str">
        <x:v>抽牌堆</x:v>
      </x:c>
      <x:c r="E9" s="14" t="str">
        <x:v>查看顶3并取1张零件到手牌最左</x:v>
      </x:c>
      <x:c r="F9" s="14" t="str">
        <x:v>抽牌堆顶部窗口；升级可选左右端</x:v>
      </x:c>
      <x:c r="G9" s="14" t="str">
        <x:v>查看3→5</x:v>
      </x:c>
      <x:c r="H9" s="14" t="str">
        <x:v>中</x:v>
      </x:c>
      <x:c r="I9" s="98"/>
      <x:c r="J9" s="14"/>
      <x:c r="K9" s="14"/>
      <x:c r="L9" s="14"/>
      <x:c r="M9" s="14"/>
    </x:row>
    <x:row r="10">
      <x:c r="A10" s="14" t="str">
        <x:v>底仓吊运</x:v>
      </x:c>
      <x:c r="B10" s="14" t="str">
        <x:v>普通</x:v>
      </x:c>
      <x:c r="C10" s="14" t="n">
        <x:v>1</x:v>
      </x:c>
      <x:c r="D10" s="14" t="str">
        <x:v>抽牌堆</x:v>
      </x:c>
      <x:c r="E10" s="14" t="str">
        <x:v>抽牌堆底牌进入手牌最右，零件减费1</x:v>
      </x:c>
      <x:c r="F10" s="14" t="str">
        <x:v>底牌与手牌右端</x:v>
      </x:c>
      <x:c r="G10" s="14" t="str">
        <x:v>费用1→0</x:v>
      </x:c>
      <x:c r="H10" s="14" t="str">
        <x:v>中</x:v>
      </x:c>
      <x:c r="I10" s="98"/>
      <x:c r="J10" s="142" t="str">
        <x:v>卡池指标</x:v>
      </x:c>
      <x:c r="K10" s="142" t="str">
        <x:v>数值</x:v>
      </x:c>
      <x:c r="L10" s="14"/>
      <x:c r="M10" s="14"/>
    </x:row>
    <x:row r="11">
      <x:c r="A11" s="14" t="str">
        <x:v>顶层预装</x:v>
      </x:c>
      <x:c r="B11" s="14" t="str">
        <x:v>罕见</x:v>
      </x:c>
      <x:c r="C11" s="14" t="n">
        <x:v>1</x:v>
      </x:c>
      <x:c r="D11" s="14" t="str">
        <x:v>抽牌堆</x:v>
      </x:c>
      <x:c r="E11" s="14" t="str">
        <x:v>直接装配牌堆顶2张零件</x:v>
      </x:c>
      <x:c r="F11" s="14" t="str">
        <x:v>牌堆顶从上到下成为模块顺序</x:v>
      </x:c>
      <x:c r="G11" s="14" t="str">
        <x:v>顶3中选择相邻2张</x:v>
      </x:c>
      <x:c r="H11" s="14" t="str">
        <x:v>高</x:v>
      </x:c>
      <x:c r="I11" s="98"/>
      <x:c r="J11" s="14" t="str">
        <x:v>新增牌数</x:v>
      </x:c>
      <x:c r="K11" s="14" t="n">
        <x:f>COUNTA(A9:A20)</x:f>
        <x:v>12</x:v>
      </x:c>
      <x:c r="L11" s="14"/>
      <x:c r="M11" s="14"/>
    </x:row>
    <x:row r="12">
      <x:c r="A12" s="14" t="str">
        <x:v>先入先出</x:v>
      </x:c>
      <x:c r="B12" s="14" t="str">
        <x:v>稀有</x:v>
      </x:c>
      <x:c r="C12" s="14" t="n">
        <x:v>2</x:v>
      </x:c>
      <x:c r="D12" s="14" t="str">
        <x:v>抽牌堆</x:v>
      </x:c>
      <x:c r="E12" s="14" t="str">
        <x:v>每回合前两张抽到的零件自动布置双端并补牌</x:v>
      </x:c>
      <x:c r="F12" s="14" t="str">
        <x:v>正常抽牌顺序</x:v>
      </x:c>
      <x:c r="G12" s="14" t="str">
        <x:v>费用2→1</x:v>
      </x:c>
      <x:c r="H12" s="14" t="str">
        <x:v>高</x:v>
      </x:c>
      <x:c r="I12" s="98"/>
      <x:c r="J12" s="14" t="str">
        <x:v>普通</x:v>
      </x:c>
      <x:c r="K12" s="14" t="n">
        <x:f>COUNTIF(B9:B20,"普通")</x:f>
        <x:v>4</x:v>
      </x:c>
      <x:c r="L12" s="14"/>
      <x:c r="M12" s="14"/>
    </x:row>
    <x:row r="13">
      <x:c r="A13" s="14" t="str">
        <x:v>返工取件</x:v>
      </x:c>
      <x:c r="B13" s="14" t="str">
        <x:v>普通</x:v>
      </x:c>
      <x:c r="C13" s="14" t="n">
        <x:v>1</x:v>
      </x:c>
      <x:c r="D13" s="14" t="str">
        <x:v>弃牌堆</x:v>
      </x:c>
      <x:c r="E13" s="14" t="str">
        <x:v>取回最近的零件并按牌型放到双端</x:v>
      </x:c>
      <x:c r="F13" s="14" t="str">
        <x:v>弃牌堆最近顺序</x:v>
      </x:c>
      <x:c r="G13" s="14" t="str">
        <x:v>费用1→0</x:v>
      </x:c>
      <x:c r="H13" s="14" t="str">
        <x:v>中</x:v>
      </x:c>
      <x:c r="I13" s="98"/>
      <x:c r="J13" s="14" t="str">
        <x:v>罕见</x:v>
      </x:c>
      <x:c r="K13" s="14" t="n">
        <x:f>COUNTIF(B9:B20,"罕见")</x:f>
        <x:v>5</x:v>
      </x:c>
      <x:c r="L13" s="14"/>
      <x:c r="M13" s="14"/>
    </x:row>
    <x:row r="14">
      <x:c r="A14" s="14" t="str">
        <x:v>返工抽检</x:v>
      </x:c>
      <x:c r="B14" s="14" t="str">
        <x:v>罕见</x:v>
      </x:c>
      <x:c r="C14" s="14" t="n">
        <x:v>1</x:v>
      </x:c>
      <x:c r="D14" s="14" t="str">
        <x:v>弃牌堆</x:v>
      </x:c>
      <x:c r="E14" s="14" t="str">
        <x:v>查看弃牌顶3并选择零件；顶牌返工0费</x:v>
      </x:c>
      <x:c r="F14" s="14" t="str">
        <x:v>弃牌堆顶部窗口</x:v>
      </x:c>
      <x:c r="G14" s="14" t="str">
        <x:v>查看3→5</x:v>
      </x:c>
      <x:c r="H14" s="14" t="str">
        <x:v>中</x:v>
      </x:c>
      <x:c r="I14" s="98"/>
      <x:c r="J14" s="14" t="str">
        <x:v>稀有</x:v>
      </x:c>
      <x:c r="K14" s="14" t="n">
        <x:f>COUNTIF(B9:B20,"稀有")</x:f>
        <x:v>3</x:v>
      </x:c>
      <x:c r="L14" s="14"/>
      <x:c r="M14" s="14"/>
    </x:row>
    <x:row r="15">
      <x:c r="A15" s="14" t="str">
        <x:v>逆流换仓</x:v>
      </x:c>
      <x:c r="B15" s="14" t="str">
        <x:v>罕见</x:v>
      </x:c>
      <x:c r="C15" s="14" t="n">
        <x:v>0</x:v>
      </x:c>
      <x:c r="D15" s="14" t="str">
        <x:v>抽牌堆+弃牌堆</x:v>
      </x:c>
      <x:c r="E15" s="14" t="str">
        <x:v>交换两堆顶牌后抽1</x:v>
      </x:c>
      <x:c r="F15" s="14" t="str">
        <x:v>两堆顶部顺序；抽到零件可放双端</x:v>
      </x:c>
      <x:c r="G15" s="14" t="str">
        <x:v>移除消耗</x:v>
      </x:c>
      <x:c r="H15" s="14" t="str">
        <x:v>中</x:v>
      </x:c>
      <x:c r="I15" s="98"/>
      <x:c r="J15" s="14" t="str">
        <x:v>抽牌堆牌</x:v>
      </x:c>
      <x:c r="K15" s="14" t="n">
        <x:f>COUNTIF(D9:D20,"抽牌堆")+COUNTIF(D9:D20,"抽牌堆+弃牌堆")</x:f>
        <x:v>5</x:v>
      </x:c>
      <x:c r="L15" s="14"/>
      <x:c r="M15" s="14"/>
    </x:row>
    <x:row r="16">
      <x:c r="A16" s="14" t="str">
        <x:v>返工总线</x:v>
      </x:c>
      <x:c r="B16" s="14" t="str">
        <x:v>稀有</x:v>
      </x:c>
      <x:c r="C16" s="14" t="n">
        <x:v>2</x:v>
      </x:c>
      <x:c r="D16" s="14" t="str">
        <x:v>弃牌堆</x:v>
      </x:c>
      <x:c r="E16" s="14" t="str">
        <x:v>每回合首次返工零件时抽1并减费1</x:v>
      </x:c>
      <x:c r="F16" s="14" t="str">
        <x:v>弃牌堆到手牌事件</x:v>
      </x:c>
      <x:c r="G16" s="14" t="str">
        <x:v>费用2→1</x:v>
      </x:c>
      <x:c r="H16" s="14" t="str">
        <x:v>高</x:v>
      </x:c>
      <x:c r="I16" s="98"/>
      <x:c r="J16" s="14" t="str">
        <x:v>弃牌堆牌</x:v>
      </x:c>
      <x:c r="K16" s="14" t="n">
        <x:f>COUNTIF(D9:D20,"弃牌堆")+COUNTIF(D9:D20,"抽牌堆+弃牌堆")</x:f>
        <x:v>4</x:v>
      </x:c>
      <x:c r="L16" s="14"/>
      <x:c r="M16" s="14"/>
    </x:row>
    <x:row r="17">
      <x:c r="A17" s="14" t="str">
        <x:v>封存样件</x:v>
      </x:c>
      <x:c r="B17" s="14" t="str">
        <x:v>普通</x:v>
      </x:c>
      <x:c r="C17" s="14" t="n">
        <x:v>0</x:v>
      </x:c>
      <x:c r="D17" s="14" t="str">
        <x:v>消耗堆</x:v>
      </x:c>
      <x:c r="E17" s="14" t="str">
        <x:v>消耗手牌边缘零件并抽2</x:v>
      </x:c>
      <x:c r="F17" s="14" t="str">
        <x:v>只能选择手牌最左或最右零件</x:v>
      </x:c>
      <x:c r="G17" s="14" t="str">
        <x:v>可选择任意位置</x:v>
      </x:c>
      <x:c r="H17" s="14" t="str">
        <x:v>中</x:v>
      </x:c>
      <x:c r="I17" s="98"/>
      <x:c r="J17" s="14" t="str">
        <x:v>消耗堆牌</x:v>
      </x:c>
      <x:c r="K17" s="14" t="n">
        <x:f>COUNTIF(D9:D20,"消耗堆")</x:f>
        <x:v>4</x:v>
      </x:c>
      <x:c r="L17" s="14"/>
      <x:c r="M17" s="14"/>
    </x:row>
    <x:row r="18">
      <x:c r="A18" s="14" t="str">
        <x:v>蓝图调用</x:v>
      </x:c>
      <x:c r="B18" s="14" t="str">
        <x:v>罕见</x:v>
      </x:c>
      <x:c r="C18" s="14" t="n">
        <x:v>1</x:v>
      </x:c>
      <x:c r="D18" s="14" t="str">
        <x:v>消耗堆</x:v>
      </x:c>
      <x:c r="E18" s="14" t="str">
        <x:v>复制消耗零件模块到下一产物末端并降耐久</x:v>
      </x:c>
      <x:c r="F18" s="14" t="str">
        <x:v>升级可选择首端或末端</x:v>
      </x:c>
      <x:c r="G18" s="14" t="str">
        <x:v>增加首尾选择</x:v>
      </x:c>
      <x:c r="H18" s="14" t="str">
        <x:v>高</x:v>
      </x:c>
      <x:c r="I18" s="98"/>
      <x:c r="J18" s="14" t="str">
        <x:v>明确位置/顺序牌</x:v>
      </x:c>
      <x:c r="K18" s="14" t="n">
        <x:f>COUNTA(F9:F20)</x:f>
        <x:v>12</x:v>
      </x:c>
      <x:c r="L18" s="14"/>
      <x:c r="M18" s="14"/>
    </x:row>
    <x:row r="19">
      <x:c r="A19" s="14" t="str">
        <x:v>旧版复刻</x:v>
      </x:c>
      <x:c r="B19" s="14" t="str">
        <x:v>罕见</x:v>
      </x:c>
      <x:c r="C19" s="14" t="n">
        <x:v>1</x:v>
      </x:c>
      <x:c r="D19" s="14" t="str">
        <x:v>消耗堆</x:v>
      </x:c>
      <x:c r="E19" s="14" t="str">
        <x:v>生成0费虚无消耗的临时零件复制品</x:v>
      </x:c>
      <x:c r="F19" s="14" t="str">
        <x:v>基础进入最右；升级可选左右端</x:v>
      </x:c>
      <x:c r="G19" s="14" t="str">
        <x:v>增加端点选择</x:v>
      </x:c>
      <x:c r="H19" s="14" t="str">
        <x:v>高</x:v>
      </x:c>
      <x:c r="I19" s="98"/>
      <x:c r="J19" s="14"/>
      <x:c r="K19" s="14"/>
      <x:c r="L19" s="14"/>
      <x:c r="M19" s="14"/>
    </x:row>
    <x:row r="20">
      <x:c r="A20" s="14" t="str">
        <x:v>蓝图库</x:v>
      </x:c>
      <x:c r="B20" s="14" t="str">
        <x:v>稀有</x:v>
      </x:c>
      <x:c r="C20" s="14" t="n">
        <x:v>2</x:v>
      </x:c>
      <x:c r="D20" s="14" t="str">
        <x:v>消耗堆</x:v>
      </x:c>
      <x:c r="E20" s="14" t="str">
        <x:v>首次装配自动追加最近消耗零件模块</x:v>
      </x:c>
      <x:c r="F20" s="14" t="str">
        <x:v>最近消耗顺序；固定末模块</x:v>
      </x:c>
      <x:c r="G20" s="14" t="str">
        <x:v>费用2→1</x:v>
      </x:c>
      <x:c r="H20" s="14" t="str">
        <x:v>高</x:v>
      </x:c>
      <x:c r="I20" s="98"/>
      <x:c r="J20" s="143" t="str">
        <x:v>风险</x:v>
      </x:c>
      <x:c r="K20" s="143" t="str">
        <x:v>相关卡牌</x:v>
      </x:c>
      <x:c r="L20" s="143" t="str">
        <x:v>控制方式</x:v>
      </x:c>
      <x:c r="M20" s="143" t="str">
        <x:v>测试指标</x:v>
      </x:c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14" t="str">
        <x:v>定向检索过强</x:v>
      </x:c>
      <x:c r="K21" s="14" t="str">
        <x:v>顶仓检视、底仓吊运</x:v>
      </x:c>
      <x:c r="L21" s="14" t="str">
        <x:v>限制查看范围；底仓吊运有费用；未选牌不重排</x:v>
      </x:c>
      <x:c r="M21" s="14" t="str">
        <x:v>关键零件平均获取回合数</x:v>
      </x:c>
    </x:row>
    <x:row r="22">
      <x:c r="A22" s="98"/>
      <x:c r="B22" s="98"/>
      <x:c r="C22" s="98"/>
      <x:c r="D22" s="98"/>
      <x:c r="E22" s="98"/>
      <x:c r="F22" s="98"/>
      <x:c r="G22" s="98"/>
      <x:c r="H22" s="98"/>
      <x:c r="I22" s="98"/>
      <x:c r="J22" s="14" t="str">
        <x:v>零费返工循环</x:v>
      </x:c>
      <x:c r="K22" s="14" t="str">
        <x:v>返工取件、返工总线</x:v>
      </x:c>
      <x:c r="L22" s="14" t="str">
        <x:v>返工牌消耗或每回合首次限制</x:v>
      </x:c>
      <x:c r="M22" s="14" t="str">
        <x:v>单回合从弃牌堆回手次数</x:v>
      </x:c>
    </x:row>
    <x:row r="23">
      <x:c r="A23" s="98"/>
      <x:c r="B23" s="98"/>
      <x:c r="C23" s="98"/>
      <x:c r="D23" s="98"/>
      <x:c r="E23" s="98"/>
      <x:c r="F23" s="98"/>
      <x:c r="G23" s="98"/>
      <x:c r="H23" s="98"/>
      <x:c r="I23" s="98"/>
      <x:c r="J23" s="14" t="str">
        <x:v>蓝图模块堆叠</x:v>
      </x:c>
      <x:c r="K23" s="14" t="str">
        <x:v>蓝图调用、蓝图库</x:v>
      </x:c>
      <x:c r="L23" s="14" t="str">
        <x:v>每次装配最多1主动蓝图；产物耐久-1</x:v>
      </x:c>
      <x:c r="M23" s="14" t="str">
        <x:v>单个产物模块数与总输出</x:v>
      </x:c>
    </x:row>
    <x:row r="24">
      <x:c r="A24" s="98"/>
      <x:c r="B24" s="98"/>
      <x:c r="C24" s="98"/>
      <x:c r="D24" s="98"/>
      <x:c r="E24" s="98"/>
      <x:c r="F24" s="98"/>
      <x:c r="G24" s="98"/>
      <x:c r="H24" s="98"/>
      <x:c r="I24" s="98"/>
      <x:c r="J24" s="14" t="str">
        <x:v>临时卡永久复制</x:v>
      </x:c>
      <x:c r="K24" s="14" t="str">
        <x:v>旧版复刻、逆向工程</x:v>
      </x:c>
      <x:c r="L24" s="14" t="str">
        <x:v>复制品保留临时标记；战斗结束清除</x:v>
      </x:c>
      <x:c r="M24" s="14" t="str">
        <x:v>拆解和战斗结束后的永久牌组</x:v>
      </x:c>
    </x:row>
    <x:row r="25">
      <x:c r="A25" s="98"/>
      <x:c r="B25" s="98"/>
      <x:c r="C25" s="98"/>
      <x:c r="D25" s="98"/>
      <x:c r="E25" s="98"/>
      <x:c r="F25" s="98"/>
      <x:c r="G25" s="98"/>
      <x:c r="H25" s="98"/>
      <x:c r="I25" s="98"/>
      <x:c r="J25" s="14" t="str">
        <x:v>抽牌事件误判</x:v>
      </x:c>
      <x:c r="K25" s="14" t="str">
        <x:v>先入先出</x:v>
      </x:c>
      <x:c r="L25" s="14" t="str">
        <x:v>只监听正常抽牌，不监听直接加入手牌</x:v>
      </x:c>
      <x:c r="M25" s="14" t="str">
        <x:v>不同移动来源的触发日志</x:v>
      </x:c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14" t="str">
        <x:v>操作复杂度</x:v>
      </x:c>
      <x:c r="K26" s="14" t="str">
        <x:v>三类牌堆查看和排序</x:v>
      </x:c>
      <x:c r="L26" s="14" t="str">
        <x:v>顶部窗口最多5张；蓝图库只取最近零件</x:v>
      </x:c>
      <x:c r="M26" s="14" t="str">
        <x:v>平均每回合额外选择次数</x:v>
      </x:c>
    </x:row>
  </x:sheetData>
  <x:mergeCells>
    <x:mergeCell ref="A1:H1"/>
  </x:mergeCells>
  <x:pageMargins left="0.7" right="0.7" top="0.75" bottom="0.75" header="0.3" footer="0.3"/>
  <x:tableParts count="5">
    <x:tablePart xmlns:r="http://schemas.openxmlformats.org/officeDocument/2006/relationships" r:id="R7a0d9ea7b082420c"/>
    <x:tablePart xmlns:r="http://schemas.openxmlformats.org/officeDocument/2006/relationships" r:id="R182d9ec80a4e479c"/>
    <x:tablePart xmlns:r="http://schemas.openxmlformats.org/officeDocument/2006/relationships" r:id="Rc46df9df167a432b"/>
    <x:tablePart xmlns:r="http://schemas.openxmlformats.org/officeDocument/2006/relationships" r:id="Rd75e872f25b24745"/>
    <x:tablePart xmlns:r="http://schemas.openxmlformats.org/officeDocument/2006/relationships" r:id="Radc2278536ff49c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34" hidden="0" customWidth="1"/>
    <x:col min="9" max="9" width="32" hidden="0" customWidth="1"/>
    <x:col min="10" max="10" width="34" hidden="0" customWidth="1"/>
    <x:col min="12" max="12" width="16" hidden="0" customWidth="1"/>
    <x:col min="13" max="13" width="16" hidden="0" customWidth="1"/>
  </x:cols>
  <x:sheetData>
    <x:row r="1">
      <x:c r="A1" s="148" t="str">
        <x:v>总装师卡池审核总览</x:v>
      </x:c>
      <x:c r="B1" s="148"/>
      <x:c r="C1" s="148"/>
      <x:c r="D1" s="148"/>
      <x:c r="E1" s="148"/>
      <x:c r="F1" s="148"/>
      <x:c r="G1" s="148"/>
      <x:c r="H1" s="148"/>
    </x:row>
    <x:row r="3">
      <x:c r="A3" s="164" t="str">
        <x:v>角色核心</x:v>
      </x:c>
      <x:c r="B3" s="164" t="str">
        <x:v>基础循环</x:v>
      </x:c>
      <x:c r="C3" s="164" t="str">
        <x:v>第一资源轴</x:v>
      </x:c>
      <x:c r="D3" s="164" t="str">
        <x:v>第二资源轴</x:v>
      </x:c>
      <x:c r="E3" s="164" t="str">
        <x:v>第三资源轴</x:v>
      </x:c>
      <x:c r="F3" s="164" t="str">
        <x:v>主要代价</x:v>
      </x:c>
      <x:c r="G3" s="164" t="str">
        <x:v>设计关键词</x:v>
      </x:c>
      <x:c r="H3" s="164" t="str">
        <x:v>当前阶段</x:v>
      </x:c>
    </x:row>
    <x:row r="4">
      <x:c r="A4" s="14" t="str">
        <x:v>手牌是一条生产线</x:v>
      </x:c>
      <x:c r="B4" s="14" t="str">
        <x:v>调整位置→装配零件→使用产物→产生/处理废料→维修或返工</x:v>
      </x:c>
      <x:c r="C4" s="14" t="str">
        <x:v>模块首中尾与左右邻接</x:v>
      </x:c>
      <x:c r="D4" s="14" t="str">
        <x:v>机械/生物废料回收</x:v>
      </x:c>
      <x:c r="E4" s="14" t="str">
        <x:v>抽牌堆预排、弃牌堆返工、消耗堆蓝图</x:v>
      </x:c>
      <x:c r="F4" s="14" t="str">
        <x:v>废料污染、产物耐久、排序操作成本</x:v>
      </x:c>
      <x:c r="G4" s="14" t="str">
        <x:v>位置、装配、多合一、废料、维修、牌堆顺序</x:v>
      </x:c>
      <x:c r="H4" s="14" t="str">
        <x:v>机制扩展完成，进入删减与规则收敛</x:v>
      </x:c>
      <x:c r="I4" s="14"/>
      <x:c r="J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</x:row>
    <x:row r="6">
      <x:c r="A6" s="165" t="str">
        <x:v>结构指标</x:v>
      </x:c>
      <x:c r="B6" s="165" t="str">
        <x:v>数量</x:v>
      </x:c>
      <x:c r="C6" s="14"/>
      <x:c r="D6" s="165" t="str">
        <x:v>主体系</x:v>
      </x:c>
      <x:c r="E6" s="165" t="str">
        <x:v>条目数</x:v>
      </x:c>
      <x:c r="F6" s="14"/>
      <x:c r="G6" s="165" t="str">
        <x:v>审核阶段</x:v>
      </x:c>
      <x:c r="H6" s="165" t="str">
        <x:v>先看什么</x:v>
      </x:c>
      <x:c r="I6" s="165" t="str">
        <x:v>审核目标</x:v>
      </x:c>
      <x:c r="J6" s="165" t="str">
        <x:v>通过条件</x:v>
      </x:c>
      <x:c r="L6" s="169" t="str">
        <x:v>审核决定</x:v>
      </x:c>
      <x:c r="M6" s="169" t="str">
        <x:v>数量</x:v>
      </x:c>
    </x:row>
    <x:row r="7">
      <x:c r="A7" s="14" t="str">
        <x:v>总条目</x:v>
      </x:c>
      <x:c r="B7" s="14" t="n">
        <x:f>COUNTA('卡牌审核清单'!B2:B100)</x:f>
        <x:v>69</x:v>
      </x:c>
      <x:c r="C7" s="14"/>
      <x:c r="D7" s="14" t="str">
        <x:v>初始与基础零件</x:v>
      </x:c>
      <x:c r="E7" s="14" t="n">
        <x:f>COUNTIF('卡牌审核清单'!F2:F100,D7)</x:f>
        <x:v>8</x:v>
      </x:c>
      <x:c r="F7" s="14"/>
      <x:c r="G7" s="14" t="str">
        <x:v>1. 核心规则</x:v>
      </x:c>
      <x:c r="H7" s="14" t="str">
        <x:v>装配产物、耐久、模块结算、处理、蓝图</x:v>
      </x:c>
      <x:c r="I7" s="14" t="str">
        <x:v>消除实现阻塞</x:v>
      </x:c>
      <x:c r="J7" s="14" t="str">
        <x:v>所有事件时机和目标规则唯一</x:v>
      </x:c>
      <x:c r="L7" t="str">
        <x:v>待审核</x:v>
      </x:c>
      <x:c r="M7" t="n">
        <x:f>COUNTIF('卡牌审核清单'!M2:M100,L7)</x:f>
        <x:v>69</x:v>
      </x:c>
    </x:row>
    <x:row r="8">
      <x:c r="A8" s="14" t="str">
        <x:v>玩家永久卡</x:v>
      </x:c>
      <x:c r="B8" s="14" t="n">
        <x:f>COUNTIF('卡牌审核清单'!C2:C100,"普通")+COUNTIF('卡牌审核清单'!C2:C100,"罕见")+COUNTIF('卡牌审核清单'!C2:C100,"稀有")+COUNTIF('卡牌审核清单'!C2:C100,"基础")</x:f>
        <x:v>63</x:v>
      </x:c>
      <x:c r="C8" s="14"/>
      <x:c r="D8" s="14" t="str">
        <x:v>装配与产物</x:v>
      </x:c>
      <x:c r="E8" s="14" t="n">
        <x:f>COUNTIF('卡牌审核清单'!F2:F100,D8)</x:f>
        <x:v>8</x:v>
      </x:c>
      <x:c r="F8" s="14"/>
      <x:c r="G8" s="14" t="str">
        <x:v>2. 初始体验</x:v>
      </x:c>
      <x:c r="H8" s="14" t="str">
        <x:v>初始10张、基础装配、机械废料</x:v>
      </x:c>
      <x:c r="I8" s="14" t="str">
        <x:v>确认角色前两场战斗可运转</x:v>
      </x:c>
      <x:c r="J8" s="14" t="str">
        <x:v>有位置收益、有输出、有装配后续航</x:v>
      </x:c>
      <x:c r="L8" t="str">
        <x:v>保留</x:v>
      </x:c>
      <x:c r="M8" t="n">
        <x:f>COUNTIF('卡牌审核清单'!M2:M100,L8)</x:f>
        <x:v>0</x:v>
      </x:c>
    </x:row>
    <x:row r="9">
      <x:c r="A9" s="14" t="str">
        <x:v>基础/系统/生成条目</x:v>
      </x:c>
      <x:c r="B9" s="14" t="n">
        <x:f>B7-B8</x:f>
        <x:v>6</x:v>
      </x:c>
      <x:c r="C9" s="14"/>
      <x:c r="D9" s="14" t="str">
        <x:v>位置编排</x:v>
      </x:c>
      <x:c r="E9" s="14" t="n">
        <x:f>COUNTIF('卡牌审核清单'!F2:F100,D9)</x:f>
        <x:v>9</x:v>
      </x:c>
      <x:c r="F9" s="14"/>
      <x:c r="G9" s="14" t="str">
        <x:v>3. 主干卡池</x:v>
      </x:c>
      <x:c r="H9" s="14" t="str">
        <x:v>装配、位置、维修</x:v>
      </x:c>
      <x:c r="I9" s="14" t="str">
        <x:v>确认角色不依赖某一套副体系</x:v>
      </x:c>
      <x:c r="J9" s="14" t="str">
        <x:v>每条主干至少有生成器、运转与收益</x:v>
      </x:c>
      <x:c r="L9" t="str">
        <x:v>修改</x:v>
      </x:c>
      <x:c r="M9" t="n">
        <x:f>COUNTIF('卡牌审核清单'!M2:M100,L9)</x:f>
        <x:v>0</x:v>
      </x:c>
    </x:row>
    <x:row r="10">
      <x:c r="A10" s="14" t="str">
        <x:v>普通</x:v>
      </x:c>
      <x:c r="B10" s="14" t="n">
        <x:f>COUNTIF('卡牌审核清单'!C2:C100,"普通")</x:f>
        <x:v>22</x:v>
      </x:c>
      <x:c r="C10" s="14"/>
      <x:c r="D10" s="14" t="str">
        <x:v>维修与故障</x:v>
      </x:c>
      <x:c r="E10" s="14" t="n">
        <x:f>COUNTIF('卡牌审核清单'!F2:F100,D10)</x:f>
        <x:v>7</x:v>
      </x:c>
      <x:c r="F10" s="14"/>
      <x:c r="G10" s="14" t="str">
        <x:v>4. 双废料</x:v>
      </x:c>
      <x:c r="H10" s="14" t="str">
        <x:v>机械、生物、混合回收</x:v>
      </x:c>
      <x:c r="I10" s="14" t="str">
        <x:v>防止废料变成纯奖励</x:v>
      </x:c>
      <x:c r="J10" s="14" t="str">
        <x:v>无处理牌时仍有明显污染压力</x:v>
      </x:c>
      <x:c r="L10" t="str">
        <x:v>合并</x:v>
      </x:c>
      <x:c r="M10" t="n">
        <x:f>COUNTIF('卡牌审核清单'!M2:M100,L10)</x:f>
        <x:v>0</x:v>
      </x:c>
    </x:row>
    <x:row r="11">
      <x:c r="A11" s="14" t="str">
        <x:v>罕见</x:v>
      </x:c>
      <x:c r="B11" s="14" t="n">
        <x:f>COUNTIF('卡牌审核清单'!C2:C100,"罕见")</x:f>
        <x:v>23</x:v>
      </x:c>
      <x:c r="C11" s="14"/>
      <x:c r="D11" s="14" t="str">
        <x:v>双废料-机械</x:v>
      </x:c>
      <x:c r="E11" s="14" t="n">
        <x:f>COUNTIF('卡牌审核清单'!F2:F100,D11)</x:f>
        <x:v>1</x:v>
      </x:c>
      <x:c r="F11" s="14"/>
      <x:c r="G11" s="14" t="str">
        <x:v>5. 三牌堆</x:v>
      </x:c>
      <x:c r="H11" s="14" t="str">
        <x:v>预排产、返工、蓝图</x:v>
      </x:c>
      <x:c r="I11" s="14" t="str">
        <x:v>控制复杂度和循环</x:v>
      </x:c>
      <x:c r="J11" s="14" t="str">
        <x:v>每个牌堆只有清晰且不同的定位</x:v>
      </x:c>
      <x:c r="L11" t="str">
        <x:v>删除</x:v>
      </x:c>
      <x:c r="M11" t="n">
        <x:f>COUNTIF('卡牌审核清单'!M2:M100,L11)</x:f>
        <x:v>0</x:v>
      </x:c>
    </x:row>
    <x:row r="12">
      <x:c r="A12" s="14" t="str">
        <x:v>稀有</x:v>
      </x:c>
      <x:c r="B12" s="14" t="n">
        <x:f>COUNTIF('卡牌审核清单'!C2:C100,"稀有")</x:f>
        <x:v>12</x:v>
      </x:c>
      <x:c r="C12" s="14"/>
      <x:c r="D12" s="14" t="str">
        <x:v>双废料-生物</x:v>
      </x:c>
      <x:c r="E12" s="14" t="n">
        <x:f>COUNTIF('卡牌审核清单'!F2:F100,D12)</x:f>
        <x:v>2</x:v>
      </x:c>
      <x:c r="F12" s="14"/>
      <x:c r="G12" s="14" t="str">
        <x:v>6. 删减合并</x:v>
      </x:c>
      <x:c r="H12" s="14" t="str">
        <x:v>同类排序、维修、处理牌</x:v>
      </x:c>
      <x:c r="I12" s="14" t="str">
        <x:v>降低卡池冗余</x:v>
      </x:c>
      <x:c r="J12" s="14" t="str">
        <x:v>每个细分功能通常保留1至2张代表牌</x:v>
      </x:c>
    </x:row>
    <x:row r="13">
      <x:c r="A13" s="14" t="str">
        <x:v>高风险或阻塞</x:v>
      </x:c>
      <x:c r="B13" s="14" t="n">
        <x:f>COUNTIF('卡牌审核清单'!K2:K100,"高风险实测")+COUNTIF('卡牌审核清单'!K2:K100,"阻塞实现")</x:f>
        <x:v>20</x:v>
      </x:c>
      <x:c r="C13" s="14"/>
      <x:c r="D13" s="14" t="str">
        <x:v>双废料-通用/混合</x:v>
      </x:c>
      <x:c r="E13" s="14" t="n">
        <x:f>COUNTIF('卡牌审核清单'!F2:F100,D13)</x:f>
        <x:v>12</x:v>
      </x:c>
      <x:c r="F13" s="14"/>
      <x:c r="G13" s="14" t="str">
        <x:v>7. 数值平衡</x:v>
      </x:c>
      <x:c r="H13" s="14" t="str">
        <x:v>费用、抽牌、能量、耐久</x:v>
      </x:c>
      <x:c r="I13" s="14" t="str">
        <x:v>排除无限循环和过高稳定性</x:v>
      </x:c>
      <x:c r="J13" s="14" t="str">
        <x:v>高风险组合有次数、费用或寿命限制</x:v>
      </x:c>
      <x:c r="L13" s="173" t="str">
        <x:v>实现优先级</x:v>
      </x:c>
      <x:c r="M13" s="173" t="str">
        <x:v>数量</x:v>
      </x:c>
    </x:row>
    <x:row r="14">
      <x:c r="A14" s="14"/>
      <x:c r="B14" s="14"/>
      <x:c r="C14" s="14"/>
      <x:c r="D14" s="14" t="str">
        <x:v>抽牌堆-预排产</x:v>
      </x:c>
      <x:c r="E14" s="14" t="n">
        <x:f>COUNTIF('卡牌审核清单'!F2:F100,D14)</x:f>
        <x:v>5</x:v>
      </x:c>
      <x:c r="F14" s="14"/>
      <x:c r="G14" s="14"/>
      <x:c r="H14" s="14"/>
      <x:c r="I14" s="14"/>
      <x:c r="J14" s="14"/>
      <x:c r="L14" t="str">
        <x:v>P0</x:v>
      </x:c>
      <x:c r="M14" t="n">
        <x:f>COUNTIF('卡牌审核清单'!N2:N100,L14)</x:f>
        <x:v>1</x:v>
      </x:c>
    </x:row>
    <x:row r="15">
      <x:c r="A15" s="14"/>
      <x:c r="B15" s="14"/>
      <x:c r="C15" s="14"/>
      <x:c r="D15" s="14" t="str">
        <x:v>弃牌堆-返工</x:v>
      </x:c>
      <x:c r="E15" s="14" t="n">
        <x:f>COUNTIF('卡牌审核清单'!F2:F100,D15)</x:f>
        <x:v>5</x:v>
      </x:c>
      <x:c r="F15" s="14"/>
      <x:c r="G15" s="14"/>
      <x:c r="H15" s="14"/>
      <x:c r="I15" s="14"/>
      <x:c r="J15" s="14"/>
      <x:c r="L15" t="str">
        <x:v>P1</x:v>
      </x:c>
      <x:c r="M15" t="n">
        <x:f>COUNTIF('卡牌审核清单'!N2:N100,L15)</x:f>
        <x:v>27</x:v>
      </x:c>
    </x:row>
    <x:row r="16">
      <x:c r="A16" s="14"/>
      <x:c r="B16" s="14"/>
      <x:c r="C16" s="14"/>
      <x:c r="D16" s="14" t="str">
        <x:v>消耗堆-蓝图</x:v>
      </x:c>
      <x:c r="E16" s="14" t="n">
        <x:f>COUNTIF('卡牌审核清单'!F2:F100,D16)</x:f>
        <x:v>4</x:v>
      </x:c>
      <x:c r="F16" s="14"/>
      <x:c r="G16" s="165" t="str">
        <x:v>优先重叠组</x:v>
      </x:c>
      <x:c r="H16" s="165" t="str">
        <x:v>涉及卡牌</x:v>
      </x:c>
      <x:c r="I16" s="165" t="str">
        <x:v>主要问题</x:v>
      </x:c>
      <x:c r="J16" s="165" t="str">
        <x:v>建议审核方向</x:v>
      </x:c>
      <x:c r="L16" t="str">
        <x:v>P2</x:v>
      </x:c>
      <x:c r="M16" t="n">
        <x:f>COUNTIF('卡牌审核清单'!N2:N100,L16)</x:f>
        <x:v>35</x:v>
      </x:c>
    </x:row>
    <x:row r="17">
      <x:c r="A17" s="14"/>
      <x:c r="B17" s="14"/>
      <x:c r="C17" s="14"/>
      <x:c r="D17" s="14" t="str">
        <x:v>通用零件/功能</x:v>
      </x:c>
      <x:c r="E17" s="14" t="n">
        <x:f>COUNTIF('卡牌审核清单'!F2:F100,D17)</x:f>
        <x:v>2</x:v>
      </x:c>
      <x:c r="F17" s="14"/>
      <x:c r="G17" s="14" t="str">
        <x:v>手牌排序</x:v>
      </x:c>
      <x:c r="H17" s="14" t="str">
        <x:v>机械臂、传送带、逆向传送、整线重排、极性分选</x:v>
      </x:c>
      <x:c r="I17" s="14" t="str">
        <x:v>位移牌数量多，可能让排序成为繁琐操作而非策略</x:v>
      </x:c>
      <x:c r="J17" s="14" t="str">
        <x:v>保留不同粒度：单牌移动、局部反转、全局重排各1张</x:v>
      </x:c>
      <x:c r="L17" t="str">
        <x:v>P3</x:v>
      </x:c>
      <x:c r="M17" t="n">
        <x:f>COUNTIF('卡牌审核清单'!N2:N100,L17)</x:f>
        <x:v>6</x:v>
      </x:c>
    </x:row>
    <x:row r="18">
      <x:c r="A18" s="14"/>
      <x:c r="B18" s="14"/>
      <x:c r="C18" s="14"/>
      <x:c r="D18" s="14" t="str">
        <x:v>基础规则/生成牌</x:v>
      </x:c>
      <x:c r="E18" s="14" t="n">
        <x:f>COUNTIF('卡牌审核清单'!F2:F100,D18)</x:f>
        <x:v>6</x:v>
      </x:c>
      <x:c r="F18" s="14"/>
      <x:c r="G18" s="14" t="str">
        <x:v>基础维修</x:v>
      </x:c>
      <x:c r="H18" s="14" t="str">
        <x:v>应急维护、简易维修、临时补丁、预防性维护、自修复核心、就地回收</x:v>
      </x:c>
      <x:c r="I18" s="14" t="str">
        <x:v>维修入口过密，故障可能失去压力</x:v>
      </x:c>
      <x:c r="J18" s="14" t="str">
        <x:v>区分稳定维修、故障爆发、废料维修；删除同质纯维修</x:v>
      </x:c>
    </x:row>
    <x:row r="19">
      <x:c r="A19" s="14"/>
      <x:c r="B19" s="14"/>
      <x:c r="C19" s="14"/>
      <x:c r="D19" s="14"/>
      <x:c r="E19" s="14"/>
      <x:c r="F19" s="14"/>
      <x:c r="G19" s="14" t="str">
        <x:v>通用处理</x:v>
      </x:c>
      <x:c r="H19" s="14" t="str">
        <x:v>废料分拣、端点回收、双路回收、机生耦合器、远程回收、零废弃工厂</x:v>
      </x:c>
      <x:c r="I19" s="14" t="str">
        <x:v>两类废料的处理方式过多</x:v>
      </x:c>
      <x:c r="J19" s="14" t="str">
        <x:v>通用处理少，类型专属处理多，自动处理限制为高稀有度</x:v>
      </x:c>
    </x:row>
    <x:row r="20">
      <x:c r="A20" s="14"/>
      <x:c r="B20" s="14"/>
      <x:c r="C20" s="14"/>
      <x:c r="D20" s="14"/>
      <x:c r="E20" s="14"/>
      <x:c r="F20" s="14"/>
      <x:c r="G20" s="14" t="str">
        <x:v>抽牌堆控制</x:v>
      </x:c>
      <x:c r="H20" s="14" t="str">
        <x:v>顶仓检视、二次投料、顶层预装、底仓吊运、先入先出</x:v>
      </x:c>
      <x:c r="I20" s="14" t="str">
        <x:v>检索、置顶和直接装配叠加后可能过度稳定</x:v>
      </x:c>
      <x:c r="J20" s="14" t="str">
        <x:v>区分顶层规划、底层延迟和直接装配，减少重复检索</x:v>
      </x:c>
    </x:row>
    <x:row r="21">
      <x:c r="A21" s="14"/>
      <x:c r="B21" s="14"/>
      <x:c r="C21" s="14"/>
      <x:c r="D21" s="14"/>
      <x:c r="E21" s="14"/>
      <x:c r="F21" s="14"/>
      <x:c r="G21" s="14" t="str">
        <x:v>弃牌返工</x:v>
      </x:c>
      <x:c r="H21" s="14" t="str">
        <x:v>返工取件、返工抽检、逆流换仓、返工总线</x:v>
      </x:c>
      <x:c r="I21" s="14" t="str">
        <x:v>取回最近零件与窗口选择功能接近</x:v>
      </x:c>
      <x:c r="J21" s="14" t="str">
        <x:v>普通牌保留固定最近取回，罕见牌保留选择窗口</x:v>
      </x:c>
    </x:row>
    <x:row r="22">
      <x:c r="A22" s="14"/>
      <x:c r="B22" s="14"/>
      <x:c r="C22" s="14"/>
      <x:c r="D22" s="14"/>
      <x:c r="E22" s="14"/>
      <x:c r="F22" s="14"/>
      <x:c r="G22" s="14" t="str">
        <x:v>消耗蓝图</x:v>
      </x:c>
      <x:c r="H22" s="14" t="str">
        <x:v>封存样件、蓝图调用、旧版复刻、蓝图库</x:v>
      </x:c>
      <x:c r="I22" s="14" t="str">
        <x:v>模块复制与卡牌复制都可能绕过装配成本</x:v>
      </x:c>
      <x:c r="J22" s="14" t="str">
        <x:v>明确蓝图只复制模块，复刻只生成一次性零件，限制每次装配附加数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2db9e2992714c14"/>
  <x:tableParts count="7">
    <x:tablePart xmlns:r="http://schemas.openxmlformats.org/officeDocument/2006/relationships" r:id="Re27fd73397194117"/>
    <x:tablePart xmlns:r="http://schemas.openxmlformats.org/officeDocument/2006/relationships" r:id="R114bd93996ee48b2"/>
    <x:tablePart xmlns:r="http://schemas.openxmlformats.org/officeDocument/2006/relationships" r:id="R7ce6a1e5d21a4c53"/>
    <x:tablePart xmlns:r="http://schemas.openxmlformats.org/officeDocument/2006/relationships" r:id="R0f62ace08a5340ac"/>
    <x:tablePart xmlns:r="http://schemas.openxmlformats.org/officeDocument/2006/relationships" r:id="R1409fce4cd594e2c"/>
    <x:tablePart xmlns:r="http://schemas.openxmlformats.org/officeDocument/2006/relationships" r:id="Ra00efca998914c1e"/>
    <x:tablePart xmlns:r="http://schemas.openxmlformats.org/officeDocument/2006/relationships" r:id="R93eedf49c2fb4ae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2" hidden="0" customWidth="1"/>
    <x:col min="4" max="4" width="28" hidden="0" customWidth="1"/>
    <x:col min="5" max="5" width="30" hidden="0" customWidth="1"/>
    <x:col min="6" max="6" width="30" hidden="0" customWidth="1"/>
    <x:col min="7" max="7" width="28" hidden="0" customWidth="1"/>
    <x:col min="8" max="8" width="16" hidden="0" customWidth="1"/>
    <x:col min="9" max="9" width="30" hidden="0" customWidth="1"/>
    <x:col min="10" max="10" width="34" hidden="0" customWidth="1"/>
  </x:cols>
  <x:sheetData>
    <x:row r="1">
      <x:c r="A1" s="151" t="str">
        <x:v>现有构筑路线与卡牌职责</x:v>
      </x:c>
      <x:c r="B1" s="151"/>
      <x:c r="C1" s="151"/>
      <x:c r="D1" s="151"/>
      <x:c r="E1" s="151"/>
      <x:c r="F1" s="151"/>
      <x:c r="G1" s="151"/>
      <x:c r="H1" s="151"/>
      <x:c r="I1" s="151"/>
      <x:c r="J1" s="151"/>
    </x:row>
    <x:row r="3">
      <x:c r="A3" s="164" t="str">
        <x:v>构筑路线</x:v>
      </x:c>
      <x:c r="B3" s="164" t="str">
        <x:v>核心体验</x:v>
      </x:c>
      <x:c r="C3" s="164" t="str">
        <x:v>生成器/入口</x:v>
      </x:c>
      <x:c r="D3" s="164" t="str">
        <x:v>运转牌</x:v>
      </x:c>
      <x:c r="E3" s="164" t="str">
        <x:v>收益/终结牌</x:v>
      </x:c>
      <x:c r="F3" s="164" t="str">
        <x:v>关键位置规则</x:v>
      </x:c>
      <x:c r="G3" s="164" t="str">
        <x:v>依赖关系</x:v>
      </x:c>
      <x:c r="H3" s="164" t="str">
        <x:v>当前成熟度</x:v>
      </x:c>
      <x:c r="I3" s="164" t="str">
        <x:v>主要风险</x:v>
      </x:c>
      <x:c r="J3" s="164" t="str">
        <x:v>审核问题</x:v>
      </x:c>
    </x:row>
    <x:row r="4">
      <x:c r="A4" s="14" t="str">
        <x:v>基础装配</x:v>
      </x:c>
      <x:c r="B4" s="14" t="str">
        <x:v>把相邻零件合成可重复使用产物</x:v>
      </x:c>
      <x:c r="C4" s="14" t="str">
        <x:v>基础装配、快速装配、三联装配、精密装配</x:v>
      </x:c>
      <x:c r="D4" s="14" t="str">
        <x:v>送料器、出料计数器、补料指令</x:v>
      </x:c>
      <x:c r="E4" s="14" t="str">
        <x:v>工业奇迹、全自动生产</x:v>
      </x:c>
      <x:c r="F4" s="14" t="str">
        <x:v>零件必须相邻；模块按左到右执行</x:v>
      </x:c>
      <x:c r="G4" s="14" t="str">
        <x:v>所有其他路线的公共底座</x:v>
      </x:c>
      <x:c r="H4" s="14" t="str">
        <x:v>核心已成型</x:v>
      </x:c>
      <x:c r="I4" s="14" t="str">
        <x:v>装配牌+产物费用导致节奏慢；0费装配可能过强</x:v>
      </x:c>
      <x:c r="J4" s="14" t="str">
        <x:v>基础装配是否每回合都值得使用？</x:v>
      </x:c>
    </x:row>
    <x:row r="5">
      <x:c r="A5" s="14" t="str">
        <x:v>位置编排</x:v>
      </x:c>
      <x:c r="B5" s="14" t="str">
        <x:v>通过左右邻接、手牌端点和模块首中尾获得收益</x:v>
      </x:c>
      <x:c r="C5" s="14" t="str">
        <x:v>机械臂、传送带、临时缓存</x:v>
      </x:c>
      <x:c r="D5" s="14" t="str">
        <x:v>滚轮组、工序复核、整线重排</x:v>
      </x:c>
      <x:c r="E5" s="14" t="str">
        <x:v>增压器、联轴器、侧翼护板、强化框架、批次标签</x:v>
      </x:c>
      <x:c r="F5" s="14" t="str">
        <x:v>左/右及首/中/尾提供不同资源</x:v>
      </x:c>
      <x:c r="G5" s="14" t="str">
        <x:v>依赖足够多的位置收益牌</x:v>
      </x:c>
      <x:c r="H5" s="14" t="str">
        <x:v>卡量充足但分散</x:v>
      </x:c>
      <x:c r="I5" s="14" t="str">
        <x:v>排序操作过多；收益触发条件难读</x:v>
      </x:c>
      <x:c r="J5" s="14" t="str">
        <x:v>每次移动是否带来清晰且足够大的收益？</x:v>
      </x:c>
    </x:row>
    <x:row r="6">
      <x:c r="A6" s="14" t="str">
        <x:v>精密设备</x:v>
      </x:c>
      <x:c r="B6" s="14" t="str">
        <x:v>少产废、提高耐久、维护少量高质量产物</x:v>
      </x:c>
      <x:c r="C6" s="14" t="str">
        <x:v>精密装配、强化框架</x:v>
      </x:c>
      <x:c r="D6" s="14" t="str">
        <x:v>应急维护、简易维修、预防性维护</x:v>
      </x:c>
      <x:c r="E6" s="14" t="str">
        <x:v>自修复核心、模块回流</x:v>
      </x:c>
      <x:c r="F6" s="14" t="str">
        <x:v>框架首端加耐久、末端免损</x:v>
      </x:c>
      <x:c r="G6" s="14" t="str">
        <x:v>依赖维修与结构模块</x:v>
      </x:c>
      <x:c r="H6" s="14" t="str">
        <x:v>基本成型</x:v>
      </x:c>
      <x:c r="I6" s="14" t="str">
        <x:v>耐久过高后故障机制失去意义</x:v>
      </x:c>
      <x:c r="J6" s="14" t="str">
        <x:v>单个产物合理使用次数是多少？</x:v>
      </x:c>
    </x:row>
    <x:row r="7">
      <x:c r="A7" s="14" t="str">
        <x:v>批量生产</x:v>
      </x:c>
      <x:c r="B7" s="14" t="str">
        <x:v>快速制造低寿命产物并持续补料</x:v>
      </x:c>
      <x:c r="C7" s="14" t="str">
        <x:v>快速装配、三联装配、全自动生产</x:v>
      </x:c>
      <x:c r="D7" s="14" t="str">
        <x:v>送料器、补料指令、出料计数器</x:v>
      </x:c>
      <x:c r="E7" s="14" t="str">
        <x:v>工业奇迹、联锁工位</x:v>
      </x:c>
      <x:c r="F7" s="14" t="str">
        <x:v>装配落点和末端运转</x:v>
      </x:c>
      <x:c r="G7" s="14" t="str">
        <x:v>依赖抽牌与废料处理</x:v>
      </x:c>
      <x:c r="H7" s="14" t="str">
        <x:v>高风险成型</x:v>
      </x:c>
      <x:c r="I7" s="14" t="str">
        <x:v>0费产物、抽牌和能量容易形成循环</x:v>
      </x:c>
      <x:c r="J7" s="14" t="str">
        <x:v>每回合装配次数是否需要软上限？</x:v>
      </x:c>
    </x:row>
    <x:row r="8">
      <x:c r="A8" s="14" t="str">
        <x:v>机械废料</x:v>
      </x:c>
      <x:c r="B8" s="14" t="str">
        <x:v>处理机械废料生成次级传送带，恢复过牌</x:v>
      </x:c>
      <x:c r="C8" s="14" t="str">
        <x:v>标准装配、切屑喷射</x:v>
      </x:c>
      <x:c r="D8" s="14" t="str">
        <x:v>废料分拣、端点回收、远程回收</x:v>
      </x:c>
      <x:c r="E8" s="14" t="str">
        <x:v>分类协议、零废弃工厂</x:v>
      </x:c>
      <x:c r="F8" s="14" t="str">
        <x:v>机械偏左或位于攻击零件右侧</x:v>
      </x:c>
      <x:c r="G8" s="14" t="str">
        <x:v>依赖装配产生机械废料</x:v>
      </x:c>
      <x:c r="H8" s="14" t="str">
        <x:v>基本成型</x:v>
      </x:c>
      <x:c r="I8" s="14" t="str">
        <x:v>处理后过牌可能抵消全部污染</x:v>
      </x:c>
      <x:c r="J8" s="14" t="str">
        <x:v>无处理牌时机械废料是否足够惩罚？</x:v>
      </x:c>
    </x:row>
    <x:row r="9">
      <x:c r="A9" s="14" t="str">
        <x:v>生物废料</x:v>
      </x:c>
      <x:c r="B9" s="14" t="str">
        <x:v>主动产生生物废料，处理后换取能量</x:v>
      </x:c>
      <x:c r="C9" s="14" t="str">
        <x:v>培养舱</x:v>
      </x:c>
      <x:c r="D9" s="14" t="str">
        <x:v>代谢泵、机生耦合器、双路回收</x:v>
      </x:c>
      <x:c r="E9" s="14" t="str">
        <x:v>分类协议、异质增殖</x:v>
      </x:c>
      <x:c r="F9" s="14" t="str">
        <x:v>生物偏右或夹在处理牌两侧</x:v>
      </x:c>
      <x:c r="G9" s="14" t="str">
        <x:v>依赖稳定但受控的生物废料来源</x:v>
      </x:c>
      <x:c r="H9" s="14" t="str">
        <x:v>初步成型</x:v>
      </x:c>
      <x:c r="I9" s="14" t="str">
        <x:v>免费能量与抽牌/0费装配循环</x:v>
      </x:c>
      <x:c r="J9" s="14" t="str">
        <x:v>生物废料的平均生成频率应是多少？</x:v>
      </x:c>
    </x:row>
    <x:row r="10">
      <x:c r="A10" s="14" t="str">
        <x:v>混合回收</x:v>
      </x:c>
      <x:c r="B10" s="14" t="str">
        <x:v>同回合处理两类废料获得额外奖励和成长</x:v>
      </x:c>
      <x:c r="C10" s="14" t="str">
        <x:v>培养舱+任意装配</x:v>
      </x:c>
      <x:c r="D10" s="14" t="str">
        <x:v>极性分选、双路回收、机生耦合器</x:v>
      </x:c>
      <x:c r="E10" s="14" t="str">
        <x:v>异质增殖、零废弃工厂</x:v>
      </x:c>
      <x:c r="F10" s="14" t="str">
        <x:v>左机械右生物或左右夹持</x:v>
      </x:c>
      <x:c r="G10" s="14" t="str">
        <x:v>同时依赖两种废料体系</x:v>
      </x:c>
      <x:c r="H10" s="14" t="str">
        <x:v>高风险成型</x:v>
      </x:c>
      <x:c r="I10" s="14" t="str">
        <x:v>构筑要求高，但成型后奖励可能过量</x:v>
      </x:c>
      <x:c r="J10" s="14" t="str">
        <x:v>是否需要混合路线，而非让两条路线独立更清晰？</x:v>
      </x:c>
    </x:row>
    <x:row r="11">
      <x:c r="A11" s="14" t="str">
        <x:v>抽牌堆预排</x:v>
      </x:c>
      <x:c r="B11" s="14" t="str">
        <x:v>安排未来抽取与模块顺序，从牌堆直接上料</x:v>
      </x:c>
      <x:c r="C11" s="14" t="str">
        <x:v>顶仓检视、二次投料</x:v>
      </x:c>
      <x:c r="D11" s="14" t="str">
        <x:v>底仓吊运、先入先出、逆流换仓</x:v>
      </x:c>
      <x:c r="E11" s="14" t="str">
        <x:v>顶层预装</x:v>
      </x:c>
      <x:c r="F11" s="14" t="str">
        <x:v>堆顶顺序直接成为模块顺序；抽入手牌后布置双端</x:v>
      </x:c>
      <x:c r="G11" s="14" t="str">
        <x:v>依赖位置和装配</x:v>
      </x:c>
      <x:c r="H11" s="14" t="str">
        <x:v>初步成型</x:v>
      </x:c>
      <x:c r="I11" s="14" t="str">
        <x:v>定向检索削弱随机性；操作步骤多</x:v>
      </x:c>
      <x:c r="J11" s="14" t="str">
        <x:v>抽牌堆路线是否应只保留顶层或底层其中一个重点？</x:v>
      </x:c>
    </x:row>
    <x:row r="12">
      <x:c r="A12" s="14" t="str">
        <x:v>弃牌返工</x:v>
      </x:c>
      <x:c r="B12" s="14" t="str">
        <x:v>围绕最近使用的零件进行回收和再次装配</x:v>
      </x:c>
      <x:c r="C12" s="14" t="str">
        <x:v>返工取件、返工抽检</x:v>
      </x:c>
      <x:c r="D12" s="14" t="str">
        <x:v>逆流换仓</x:v>
      </x:c>
      <x:c r="E12" s="14" t="str">
        <x:v>返工总线</x:v>
      </x:c>
      <x:c r="F12" s="14" t="str">
        <x:v>攻击回左、技能回右；最近顺序重要</x:v>
      </x:c>
      <x:c r="G12" s="14" t="str">
        <x:v>依赖先打出或弃置零件</x:v>
      </x:c>
      <x:c r="H12" s="14" t="str">
        <x:v>初步成型</x:v>
      </x:c>
      <x:c r="I12" s="14" t="str">
        <x:v>零费回收造成循环；与普通抽牌回流相似</x:v>
      </x:c>
      <x:c r="J12" s="14" t="str">
        <x:v>固定最近取回和窗口选择是否都需要？</x:v>
      </x:c>
    </x:row>
    <x:row r="13">
      <x:c r="A13" s="14" t="str">
        <x:v>消耗蓝图</x:v>
      </x:c>
      <x:c r="B13" s="14" t="str">
        <x:v>封存零件，之后复制其模块或生成一次性复刻件</x:v>
      </x:c>
      <x:c r="C13" s="14" t="str">
        <x:v>封存样件</x:v>
      </x:c>
      <x:c r="D13" s="14" t="str">
        <x:v>蓝图调用、旧版复刻</x:v>
      </x:c>
      <x:c r="E13" s="14" t="str">
        <x:v>蓝图库</x:v>
      </x:c>
      <x:c r="F13" s="14" t="str">
        <x:v>蓝图模块进入产物首尾；最近消耗顺序决定自动蓝图</x:v>
      </x:c>
      <x:c r="G13" s="14" t="str">
        <x:v>依赖装配与消耗堆顺序</x:v>
      </x:c>
      <x:c r="H13" s="14" t="str">
        <x:v>概念完整、实现高风险</x:v>
      </x:c>
      <x:c r="I13" s="14" t="str">
        <x:v>绕过手牌和装配成本；临时复制生命周期复杂</x:v>
      </x:c>
      <x:c r="J13" s="14" t="str">
        <x:v>蓝图复制模块是否比复制整张零件更符合角色？</x:v>
      </x:c>
    </x:row>
    <x:row r="14">
      <x:c r="A14" s="14" t="str">
        <x:v>故障维修</x:v>
      </x:c>
      <x:c r="B14" s="14" t="str">
        <x:v>产物损坏后维修、回收模块或重组</x:v>
      </x:c>
      <x:c r="C14" s="14" t="str">
        <x:v>产物耐久与故障</x:v>
      </x:c>
      <x:c r="D14" s="14" t="str">
        <x:v>应急维护、临时补丁、就地回收</x:v>
      </x:c>
      <x:c r="E14" s="14" t="str">
        <x:v>预防性维护、自修复核心、模块回流、逆向工程</x:v>
      </x:c>
      <x:c r="F14" s="14" t="str">
        <x:v>产物与废料相邻、回收首末模块</x:v>
      </x:c>
      <x:c r="G14" s="14" t="str">
        <x:v>依赖玩家拥有并反复抽到产物</x:v>
      </x:c>
      <x:c r="H14" s="14" t="str">
        <x:v>基本成型</x:v>
      </x:c>
      <x:c r="I14" s="14" t="str">
        <x:v>维修牌容易在无产物时成为死牌；入口过多</x:v>
      </x:c>
      <x:c r="J14" s="14" t="str">
        <x:v>故障是有趣的维护节点，还是仅增加操作？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53aa2688c98464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0" hidden="0" customWidth="1"/>
    <x:col min="4" max="4" width="8" hidden="0" customWidth="1"/>
    <x:col min="5" max="5" width="10" hidden="0" customWidth="1"/>
    <x:col min="6" max="6" width="18" hidden="0" customWidth="1"/>
    <x:col min="7" max="7" width="28" hidden="0" customWidth="1"/>
    <x:col min="8" max="8" width="16" hidden="0" customWidth="1"/>
    <x:col min="9" max="9" width="46" hidden="0" customWidth="1"/>
    <x:col min="10" max="10" width="30" hidden="0" customWidth="1"/>
    <x:col min="11" max="11" width="14" hidden="0" customWidth="1"/>
    <x:col min="12" max="12" width="46" hidden="0" customWidth="1"/>
    <x:col min="13" max="13" width="12" hidden="0" customWidth="1"/>
    <x:col min="14" max="14" width="12" hidden="0" customWidth="1"/>
    <x:col min="15" max="15" width="36" hidden="0" customWidth="1"/>
    <x:col min="16" max="16" width="36" hidden="0" customWidth="1"/>
  </x:cols>
  <x:sheetData>
    <x:row r="1">
      <x:c r="A1" s="156" t="str">
        <x:v>原表行</x:v>
      </x:c>
      <x:c r="B1" s="156" t="str">
        <x:v>卡牌名称</x:v>
      </x:c>
      <x:c r="C1" s="156" t="str">
        <x:v>稀有度</x:v>
      </x:c>
      <x:c r="D1" s="156" t="str">
        <x:v>费用</x:v>
      </x:c>
      <x:c r="E1" s="156" t="str">
        <x:v>类型</x:v>
      </x:c>
      <x:c r="F1" s="156" t="str">
        <x:v>主体系</x:v>
      </x:c>
      <x:c r="G1" s="156" t="str">
        <x:v>关联体系</x:v>
      </x:c>
      <x:c r="H1" s="156" t="str">
        <x:v>职责</x:v>
      </x:c>
      <x:c r="I1" s="156" t="str">
        <x:v>当前逻辑摘要</x:v>
      </x:c>
      <x:c r="J1" s="156" t="str">
        <x:v>升级</x:v>
      </x:c>
      <x:c r="K1" s="156" t="str">
        <x:v>现有审核等级</x:v>
      </x:c>
      <x:c r="L1" s="156" t="str">
        <x:v>现有审核意见</x:v>
      </x:c>
      <x:c r="M1" s="156" t="str">
        <x:v>审核决定</x:v>
      </x:c>
      <x:c r="N1" s="156" t="str">
        <x:v>实现优先级</x:v>
      </x:c>
      <x:c r="O1" s="156" t="str">
        <x:v>修改方向/删除理由</x:v>
      </x:c>
      <x:c r="P1" s="156" t="str">
        <x:v>审核备注</x:v>
      </x:c>
    </x:row>
    <x:row r="2">
      <x:c r="A2" s="14" t="n">
        <x:v>2</x:v>
      </x:c>
      <x:c r="B2" s="14" t="str">
        <x:v>铸件打击</x:v>
      </x:c>
      <x:c r="C2" s="14" t="str">
        <x:v>基础</x:v>
      </x:c>
      <x:c r="D2" s="14" t="str">
        <x:v>1</x:v>
      </x:c>
      <x:c r="E2" s="14" t="str">
        <x:v>攻击</x:v>
      </x:c>
      <x:c r="F2" s="14" t="str">
        <x:v>初始与基础零件</x:v>
      </x:c>
      <x:c r="G2" s="14" t="str">
        <x:v>—</x:v>
      </x:c>
      <x:c r="H2" s="14" t="str">
        <x:v>输出零件</x:v>
      </x:c>
      <x:c r="I2" s="14" t="str">
        <x:v>打出造成6点伤害；装配时提供5点伤害模块</x:v>
      </x:c>
      <x:c r="J2" s="14" t="str">
        <x:v>打出6→9；模块5→7</x:v>
      </x:c>
      <x:c r="K2" s="14" t="str">
        <x:v>通过</x:v>
      </x:c>
      <x:c r="L2" s="14" t="str">
        <x:v>调整为4张后，初始牌组拥有更稳定的基础输出，同时仍可作为伤害模块参与装配。</x:v>
      </x:c>
      <x:c r="M2" s="14" t="str">
        <x:v>待审核</x:v>
      </x:c>
      <x:c r="N2" s="14" t="str">
        <x:v>P3</x:v>
      </x:c>
      <x:c r="O2" s="14" t="str"/>
      <x:c r="P2" s="14" t="str"/>
    </x:row>
    <x:row r="3">
      <x:c r="A3" s="14" t="n">
        <x:v>3</x:v>
      </x:c>
      <x:c r="B3" s="14" t="str">
        <x:v>防护板</x:v>
      </x:c>
      <x:c r="C3" s="14" t="str">
        <x:v>基础</x:v>
      </x:c>
      <x:c r="D3" s="14" t="str">
        <x:v>1</x:v>
      </x:c>
      <x:c r="E3" s="14" t="str">
        <x:v>技能</x:v>
      </x:c>
      <x:c r="F3" s="14" t="str">
        <x:v>初始与基础零件</x:v>
      </x:c>
      <x:c r="G3" s="14" t="str">
        <x:v>—</x:v>
      </x:c>
      <x:c r="H3" s="14" t="str">
        <x:v>功能/防御零件</x:v>
      </x:c>
      <x:c r="I3" s="14" t="str">
        <x:v>打出获得5点格挡；装配时提供5点格挡模块</x:v>
      </x:c>
      <x:c r="J3" s="14" t="str">
        <x:v>打出5→8；模块5→7</x:v>
      </x:c>
      <x:c r="K3" s="14" t="str">
        <x:v>通过</x:v>
      </x:c>
      <x:c r="L3" s="14" t="str">
        <x:v>调整为2张后，降低了初始牌组的防御冗余；侧翼护板与应急维护仍能补充基础防御。</x:v>
      </x:c>
      <x:c r="M3" s="14" t="str">
        <x:v>待审核</x:v>
      </x:c>
      <x:c r="N3" s="14" t="str">
        <x:v>P3</x:v>
      </x:c>
      <x:c r="O3" s="14" t="str"/>
      <x:c r="P3" s="14" t="str"/>
    </x:row>
    <x:row r="4">
      <x:c r="A4" s="14" t="n">
        <x:v>4</x:v>
      </x:c>
      <x:c r="B4" s="14" t="str">
        <x:v>送料器</x:v>
      </x:c>
      <x:c r="C4" s="14" t="str">
        <x:v>基础</x:v>
      </x:c>
      <x:c r="D4" s="14" t="str">
        <x:v>0</x:v>
      </x:c>
      <x:c r="E4" s="14" t="str">
        <x:v>技能</x:v>
      </x:c>
      <x:c r="F4" s="14" t="str">
        <x:v>初始与基础零件</x:v>
      </x:c>
      <x:c r="G4" s="14" t="str">
        <x:v>位置编排</x:v>
      </x:c>
      <x:c r="H4" s="14" t="str">
        <x:v>功能/防御零件</x:v>
      </x:c>
      <x:c r="I4" s="14" t="str">
        <x:v>打出抽1张；若与任意废料相邻，再抽1张。模块：抽1张。</x:v>
      </x:c>
      <x:c r="J4" s="14" t="str">
        <x:v>升级后左右两侧的废料分别额外抽1张；模块不变</x:v>
      </x:c>
      <x:c r="K4" s="14" t="str">
        <x:v>重点实测</x:v>
      </x:c>
      <x:c r="L4" s="14" t="str">
        <x:v>送料器继续作为两类废料共用的基础运转牌，不负责处理废料。</x:v>
      </x:c>
      <x:c r="M4" s="14" t="str">
        <x:v>待审核</x:v>
      </x:c>
      <x:c r="N4" s="14" t="str">
        <x:v>P2</x:v>
      </x:c>
      <x:c r="O4" s="14" t="str"/>
      <x:c r="P4" s="14" t="str"/>
    </x:row>
    <x:row r="5">
      <x:c r="A5" s="14" t="n">
        <x:v>5</x:v>
      </x:c>
      <x:c r="B5" s="14" t="str">
        <x:v>侧翼护板</x:v>
      </x:c>
      <x:c r="C5" s="14" t="str">
        <x:v>基础</x:v>
      </x:c>
      <x:c r="D5" s="14" t="str">
        <x:v>1</x:v>
      </x:c>
      <x:c r="E5" s="14" t="str">
        <x:v>技能</x:v>
      </x:c>
      <x:c r="F5" s="14" t="str">
        <x:v>初始与基础零件</x:v>
      </x:c>
      <x:c r="G5" s="14" t="str">
        <x:v>位置编排</x:v>
      </x:c>
      <x:c r="H5" s="14" t="str">
        <x:v>功能/防御零件</x:v>
      </x:c>
      <x:c r="I5" s="14" t="str">
        <x:v>打出获得5格挡；若位于手牌最左侧，额外获得4格挡；若位于最右侧，抽1张牌。模块：获得5格挡；若为产物首模块，额外获得4格挡；若为末模块，抽1张牌。</x:v>
      </x:c>
      <x:c r="J5" s="14" t="str">
        <x:v>基础格挡5→7；左端额外4→5；右端抽牌不变；模块格挡5→7、首端额外4→5</x:v>
      </x:c>
      <x:c r="K5" s="14" t="str">
        <x:v>重点实测</x:v>
      </x:c>
      <x:c r="L5" s="14" t="str">
        <x:v>左右端提供不同收益，机械臂移动不再只是增加固定数值，而是决定防御或运转。</x:v>
      </x:c>
      <x:c r="M5" s="14" t="str">
        <x:v>待审核</x:v>
      </x:c>
      <x:c r="N5" s="14" t="str">
        <x:v>P2</x:v>
      </x:c>
      <x:c r="O5" s="14" t="str"/>
      <x:c r="P5" s="14" t="str"/>
    </x:row>
    <x:row r="6">
      <x:c r="A6" s="14" t="n">
        <x:v>6</x:v>
      </x:c>
      <x:c r="B6" s="14" t="str">
        <x:v>机械臂</x:v>
      </x:c>
      <x:c r="C6" s="14" t="str">
        <x:v>基础</x:v>
      </x:c>
      <x:c r="D6" s="14" t="str">
        <x:v>0</x:v>
      </x:c>
      <x:c r="E6" s="14" t="str">
        <x:v>技能</x:v>
      </x:c>
      <x:c r="F6" s="14" t="str">
        <x:v>初始与基础零件</x:v>
      </x:c>
      <x:c r="G6" s="14" t="str">
        <x:v>位置编排</x:v>
      </x:c>
      <x:c r="H6" s="14" t="str">
        <x:v>位置调整</x:v>
      </x:c>
      <x:c r="I6" s="14" t="str">
        <x:v>将另一张手牌左右移动最多2个位置</x:v>
      </x:c>
      <x:c r="J6" s="14" t="str">
        <x:v>升级后可移动至任意位置</x:v>
      </x:c>
      <x:c r="K6" s="14" t="str">
        <x:v>通过</x:v>
      </x:c>
      <x:c r="L6" s="14" t="str">
        <x:v>位置调整规则明确，并能服务送料器、侧翼护板和装配邻接。</x:v>
      </x:c>
      <x:c r="M6" s="14" t="str">
        <x:v>待审核</x:v>
      </x:c>
      <x:c r="N6" s="14" t="str">
        <x:v>P3</x:v>
      </x:c>
      <x:c r="O6" s="14" t="str"/>
      <x:c r="P6" s="14" t="str"/>
    </x:row>
    <x:row r="7">
      <x:c r="A7" s="14" t="n">
        <x:v>7</x:v>
      </x:c>
      <x:c r="B7" s="14" t="str">
        <x:v>应急维护</x:v>
      </x:c>
      <x:c r="C7" s="14" t="str">
        <x:v>基础</x:v>
      </x:c>
      <x:c r="D7" s="14" t="str">
        <x:v>1</x:v>
      </x:c>
      <x:c r="E7" s="14" t="str">
        <x:v>技能</x:v>
      </x:c>
      <x:c r="F7" s="14" t="str">
        <x:v>初始与基础零件</x:v>
      </x:c>
      <x:c r="G7" s="14" t="str">
        <x:v>维修/故障</x:v>
      </x:c>
      <x:c r="H7" s="14" t="str">
        <x:v>维修</x:v>
      </x:c>
      <x:c r="I7" s="14" t="str">
        <x:v>获得6格挡并维修手牌产物1点；无产物仍可打出</x:v>
      </x:c>
      <x:c r="J7" s="14" t="str">
        <x:v>格挡6→8；维修1→2</x:v>
      </x:c>
      <x:c r="K7" s="14" t="str">
        <x:v>需澄清</x:v>
      </x:c>
      <x:c r="L7" s="14" t="str">
        <x:v>无产物时可打出，但有产物且全部满耐久时是否必须选择目标尚不明确。</x:v>
      </x:c>
      <x:c r="M7" s="14" t="str">
        <x:v>待审核</x:v>
      </x:c>
      <x:c r="N7" s="14" t="str">
        <x:v>P1</x:v>
      </x:c>
      <x:c r="O7" s="14" t="str"/>
      <x:c r="P7" s="14" t="str"/>
    </x:row>
    <x:row r="8">
      <x:c r="A8" s="14" t="n">
        <x:v>8</x:v>
      </x:c>
      <x:c r="B8" s="14" t="str">
        <x:v>基础装配</x:v>
      </x:c>
      <x:c r="C8" s="14" t="str">
        <x:v>状态</x:v>
      </x:c>
      <x:c r="D8" s="14" t="str">
        <x:v>0</x:v>
      </x:c>
      <x:c r="E8" s="14" t="str">
        <x:v>技能</x:v>
      </x:c>
      <x:c r="F8" s="14" t="str">
        <x:v>基础规则/生成牌</x:v>
      </x:c>
      <x:c r="G8" s="14" t="str">
        <x:v>装配/产物</x:v>
      </x:c>
      <x:c r="H8" s="14" t="str">
        <x:v>装配器</x:v>
      </x:c>
      <x:c r="I8" s="14" t="str">
        <x:v>装配2张直接相邻零件；生成1费2耐久产物；将1张机械废料加入弃牌堆。</x:v>
      </x:c>
      <x:c r="J8" s="14" t="str">
        <x:v>不可升级</x:v>
      </x:c>
      <x:c r="K8" s="14" t="str">
        <x:v>需澄清</x:v>
      </x:c>
      <x:c r="L8" s="14" t="str">
        <x:v>将基础装配设为机械废料的稳定来源，保证机械回收路线从初始卡组即可运转。</x:v>
      </x:c>
      <x:c r="M8" s="14" t="str">
        <x:v>待审核</x:v>
      </x:c>
      <x:c r="N8" s="14" t="str">
        <x:v>P1</x:v>
      </x:c>
      <x:c r="O8" s="14" t="str"/>
      <x:c r="P8" s="14" t="str"/>
    </x:row>
    <x:row r="9">
      <x:c r="A9" s="14" t="n">
        <x:v>9</x:v>
      </x:c>
      <x:c r="B9" s="14" t="str">
        <x:v>装配产物</x:v>
      </x:c>
      <x:c r="C9" s="14" t="str">
        <x:v>状态</x:v>
      </x:c>
      <x:c r="D9" s="14" t="str">
        <x:v>1</x:v>
      </x:c>
      <x:c r="E9" s="14" t="str">
        <x:v>技能</x:v>
      </x:c>
      <x:c r="F9" s="14" t="str">
        <x:v>基础规则/生成牌</x:v>
      </x:c>
      <x:c r="G9" s="14" t="str">
        <x:v>装配/产物</x:v>
      </x:c>
      <x:c r="H9" s="14" t="str">
        <x:v>系统/生成</x:v>
      </x:c>
      <x:c r="I9" s="14" t="str">
        <x:v>从左到右执行模块；使用后失去1耐久；0耐久无法打出</x:v>
      </x:c>
      <x:c r="J9" s="14" t="str">
        <x:v>不可升级</x:v>
      </x:c>
      <x:c r="K9" s="14" t="str">
        <x:v>阻塞实现</x:v>
      </x:c>
      <x:c r="L9" s="14" t="str">
        <x:v>缺少动态目标、卡牌类型触发、模块执行阶段、耐久持久化和目标死亡后的规则，是当前最大实现阻塞。</x:v>
      </x:c>
      <x:c r="M9" s="14" t="str">
        <x:v>待审核</x:v>
      </x:c>
      <x:c r="N9" s="14" t="str">
        <x:v>P0</x:v>
      </x:c>
      <x:c r="O9" s="14" t="str"/>
      <x:c r="P9" s="14" t="str"/>
    </x:row>
    <x:row r="10">
      <x:c r="A10" s="14" t="n">
        <x:v>10</x:v>
      </x:c>
      <x:c r="B10" s="14" t="str">
        <x:v>机械废料</x:v>
      </x:c>
      <x:c r="C10" s="14" t="str">
        <x:v>状态</x:v>
      </x:c>
      <x:c r="D10" s="14" t="str">
        <x:v>0</x:v>
      </x:c>
      <x:c r="E10" s="14" t="str">
        <x:v>状态</x:v>
      </x:c>
      <x:c r="F10" s="14" t="str">
        <x:v>基础规则/生成牌</x:v>
      </x:c>
      <x:c r="G10" s="14" t="str">
        <x:v>机械废料</x:v>
      </x:c>
      <x:c r="H10" s="14" t="str">
        <x:v>废料处理</x:v>
      </x:c>
      <x:c r="I10" s="14" t="str">
        <x:v>无法打出；占据手牌位置。被“处理”时消耗，并在原手牌位置生成1张次级传送带。</x:v>
      </x:c>
      <x:c r="J10" s="14" t="str">
        <x:v>不可升级</x:v>
      </x:c>
      <x:c r="K10" s="14" t="str">
        <x:v>重点实测</x:v>
      </x:c>
      <x:c r="L10" s="14" t="str">
        <x:v>机械废料是标准装配的主要副产物，处理后提供过牌补偿而非直接卡差收益。</x:v>
      </x:c>
      <x:c r="M10" s="14" t="str">
        <x:v>待审核</x:v>
      </x:c>
      <x:c r="N10" s="14" t="str">
        <x:v>P2</x:v>
      </x:c>
      <x:c r="O10" s="14" t="str"/>
      <x:c r="P10" s="14" t="str"/>
    </x:row>
    <x:row r="11">
      <x:c r="A11" s="14" t="n">
        <x:v>11</x:v>
      </x:c>
      <x:c r="B11" s="14" t="str">
        <x:v>锯齿盘</x:v>
      </x:c>
      <x:c r="C11" s="14" t="str">
        <x:v>普通</x:v>
      </x:c>
      <x:c r="D11" s="14" t="str">
        <x:v>1</x:v>
      </x:c>
      <x:c r="E11" s="14" t="str">
        <x:v>攻击</x:v>
      </x:c>
      <x:c r="F11" s="14" t="str">
        <x:v>初始与基础零件</x:v>
      </x:c>
      <x:c r="G11" s="14" t="str">
        <x:v>—</x:v>
      </x:c>
      <x:c r="H11" s="14" t="str">
        <x:v>输出零件</x:v>
      </x:c>
      <x:c r="I11" s="14" t="str">
        <x:v>打出造成8伤害；装配提供7伤害模块</x:v>
      </x:c>
      <x:c r="J11" s="14" t="str">
        <x:v>打出8→11；模块7→9</x:v>
      </x:c>
      <x:c r="K11" s="14" t="str">
        <x:v>通过</x:v>
      </x:c>
      <x:c r="L11" s="14" t="str">
        <x:v>普通攻击零件定位明确。</x:v>
      </x:c>
      <x:c r="M11" s="14" t="str">
        <x:v>待审核</x:v>
      </x:c>
      <x:c r="N11" s="14" t="str">
        <x:v>P3</x:v>
      </x:c>
      <x:c r="O11" s="14" t="str"/>
      <x:c r="P11" s="14" t="str"/>
    </x:row>
    <x:row r="12">
      <x:c r="A12" s="14" t="n">
        <x:v>12</x:v>
      </x:c>
      <x:c r="B12" s="14" t="str">
        <x:v>缓冲垫</x:v>
      </x:c>
      <x:c r="C12" s="14" t="str">
        <x:v>普通</x:v>
      </x:c>
      <x:c r="D12" s="14" t="str">
        <x:v>1</x:v>
      </x:c>
      <x:c r="E12" s="14" t="str">
        <x:v>技能</x:v>
      </x:c>
      <x:c r="F12" s="14" t="str">
        <x:v>初始与基础零件</x:v>
      </x:c>
      <x:c r="G12" s="14" t="str">
        <x:v>—</x:v>
      </x:c>
      <x:c r="H12" s="14" t="str">
        <x:v>功能/防御零件</x:v>
      </x:c>
      <x:c r="I12" s="14" t="str">
        <x:v>打出获得7格挡；装配提供6格挡模块</x:v>
      </x:c>
      <x:c r="J12" s="14" t="str">
        <x:v>打出7→10；模块6→8</x:v>
      </x:c>
      <x:c r="K12" s="14" t="str">
        <x:v>通过</x:v>
      </x:c>
      <x:c r="L12" s="14" t="str">
        <x:v>普通防御零件定位明确。</x:v>
      </x:c>
      <x:c r="M12" s="14" t="str">
        <x:v>待审核</x:v>
      </x:c>
      <x:c r="N12" s="14" t="str">
        <x:v>P3</x:v>
      </x:c>
      <x:c r="O12" s="14" t="str"/>
      <x:c r="P12" s="14" t="str"/>
    </x:row>
    <x:row r="13">
      <x:c r="A13" s="14" t="n">
        <x:v>13</x:v>
      </x:c>
      <x:c r="B13" s="14" t="str">
        <x:v>增压器</x:v>
      </x:c>
      <x:c r="C13" s="14" t="str">
        <x:v>普通</x:v>
      </x:c>
      <x:c r="D13" s="14" t="str">
        <x:v>1</x:v>
      </x:c>
      <x:c r="E13" s="14" t="str">
        <x:v>技能</x:v>
      </x:c>
      <x:c r="F13" s="14" t="str">
        <x:v>位置编排</x:v>
      </x:c>
      <x:c r="G13" s="14" t="str">
        <x:v>位置编排</x:v>
      </x:c>
      <x:c r="H13" s="14" t="str">
        <x:v>功能/防御零件</x:v>
      </x:c>
      <x:c r="I13" s="14" t="str">
        <x:v>选择并标记右侧相邻的1张攻击零件；该牌本回合造成的伤害提高50%。模块：强化后续首个伤害或格挡模块50%。若右侧没有攻击零件则不能打出。</x:v>
      </x:c>
      <x:c r="J13" s="14" t="str">
        <x:v>费用1→0</x:v>
      </x:c>
      <x:c r="K13" s="14" t="str">
        <x:v>重点实测</x:v>
      </x:c>
      <x:c r="L13" s="14" t="str">
        <x:v>需要先把增压器移动到攻击零件左边，直接出牌与装配均共享“前置模块”逻辑。</x:v>
      </x:c>
      <x:c r="M13" s="14" t="str">
        <x:v>待审核</x:v>
      </x:c>
      <x:c r="N13" s="14" t="str">
        <x:v>P2</x:v>
      </x:c>
      <x:c r="O13" s="14" t="str"/>
      <x:c r="P13" s="14" t="str"/>
    </x:row>
    <x:row r="14">
      <x:c r="A14" s="14" t="n">
        <x:v>14</x:v>
      </x:c>
      <x:c r="B14" s="14" t="str">
        <x:v>联轴器</x:v>
      </x:c>
      <x:c r="C14" s="14" t="str">
        <x:v>普通</x:v>
      </x:c>
      <x:c r="D14" s="14" t="str">
        <x:v>1</x:v>
      </x:c>
      <x:c r="E14" s="14" t="str">
        <x:v>技能</x:v>
      </x:c>
      <x:c r="F14" s="14" t="str">
        <x:v>位置编排</x:v>
      </x:c>
      <x:c r="G14" s="14" t="str">
        <x:v>位置编排</x:v>
      </x:c>
      <x:c r="H14" s="14" t="str">
        <x:v>功能/防御零件</x:v>
      </x:c>
      <x:c r="I14" s="14" t="str">
        <x:v>选择并标记右侧相邻的1张零件；该牌本回合打出时，重复其最后一段基础伤害或格挡的50%。模块：重复此前最近的输出模块50%。若右侧没有具有伤害或格挡的零件则不能打出。</x:v>
      </x:c>
      <x:c r="J14" s="14" t="str">
        <x:v>重复比例50%→75%</x:v>
      </x:c>
      <x:c r="K14" s="14" t="str">
        <x:v>重点实测</x:v>
      </x:c>
      <x:c r="L14" s="14" t="str">
        <x:v>将原先模糊的“此前输出”改为对右邻零件预先加装联轴，使手牌顺序产生明确收益。</x:v>
      </x:c>
      <x:c r="M14" s="14" t="str">
        <x:v>待审核</x:v>
      </x:c>
      <x:c r="N14" s="14" t="str">
        <x:v>P2</x:v>
      </x:c>
      <x:c r="O14" s="14" t="str"/>
      <x:c r="P14" s="14" t="str"/>
    </x:row>
    <x:row r="15">
      <x:c r="A15" s="14" t="n">
        <x:v>15</x:v>
      </x:c>
      <x:c r="B15" s="14" t="str">
        <x:v>简易维修</x:v>
      </x:c>
      <x:c r="C15" s="14" t="str">
        <x:v>普通</x:v>
      </x:c>
      <x:c r="D15" s="14" t="str">
        <x:v>1</x:v>
      </x:c>
      <x:c r="E15" s="14" t="str">
        <x:v>技能</x:v>
      </x:c>
      <x:c r="F15" s="14" t="str">
        <x:v>维修与故障</x:v>
      </x:c>
      <x:c r="G15" s="14" t="str">
        <x:v>维修/故障</x:v>
      </x:c>
      <x:c r="H15" s="14" t="str">
        <x:v>维修</x:v>
      </x:c>
      <x:c r="I15" s="14" t="str">
        <x:v>维修产物1点；若原本故障则获得6格挡</x:v>
      </x:c>
      <x:c r="J15" s="14" t="str">
        <x:v>维修1→2</x:v>
      </x:c>
      <x:c r="K15" s="14" t="str">
        <x:v>需澄清</x:v>
      </x:c>
      <x:c r="L15" s="14" t="str">
        <x:v>需要产物目标，但无合法目标时能否打出未写明。</x:v>
      </x:c>
      <x:c r="M15" s="14" t="str">
        <x:v>待审核</x:v>
      </x:c>
      <x:c r="N15" s="14" t="str">
        <x:v>P1</x:v>
      </x:c>
      <x:c r="O15" s="14" t="str"/>
      <x:c r="P15" s="14" t="str"/>
    </x:row>
    <x:row r="16">
      <x:c r="A16" s="14" t="n">
        <x:v>16</x:v>
      </x:c>
      <x:c r="B16" s="14" t="str">
        <x:v>传送带</x:v>
      </x:c>
      <x:c r="C16" s="14" t="str">
        <x:v>普通</x:v>
      </x:c>
      <x:c r="D16" s="14" t="str">
        <x:v>0</x:v>
      </x:c>
      <x:c r="E16" s="14" t="str">
        <x:v>技能</x:v>
      </x:c>
      <x:c r="F16" s="14" t="str">
        <x:v>位置编排</x:v>
      </x:c>
      <x:c r="G16" s="14" t="str">
        <x:v>位置编排</x:v>
      </x:c>
      <x:c r="H16" s="14" t="str">
        <x:v>位置调整</x:v>
      </x:c>
      <x:c r="I16" s="14" t="str">
        <x:v>将一张手牌移动到最左或最右</x:v>
      </x:c>
      <x:c r="J16" s="14" t="str">
        <x:v>先抽1张牌</x:v>
      </x:c>
      <x:c r="K16" s="14" t="str">
        <x:v>通过</x:v>
      </x:c>
      <x:c r="L16" s="14" t="str">
        <x:v>与机械臂形成不同定位，升级后的抽牌顺序也明确。</x:v>
      </x:c>
      <x:c r="M16" s="14" t="str">
        <x:v>待审核</x:v>
      </x:c>
      <x:c r="N16" s="14" t="str">
        <x:v>P3</x:v>
      </x:c>
      <x:c r="O16" s="14" t="str"/>
      <x:c r="P16" s="14" t="str"/>
    </x:row>
    <x:row r="17">
      <x:c r="A17" s="14" t="n">
        <x:v>17</x:v>
      </x:c>
      <x:c r="B17" s="14" t="str">
        <x:v>废料分拣</x:v>
      </x:c>
      <x:c r="C17" s="14" t="str">
        <x:v>普通</x:v>
      </x:c>
      <x:c r="D17" s="14" t="str">
        <x:v>0</x:v>
      </x:c>
      <x:c r="E17" s="14" t="str">
        <x:v>技能</x:v>
      </x:c>
      <x:c r="F17" s="14" t="str">
        <x:v>双废料-通用/混合</x:v>
      </x:c>
      <x:c r="G17" s="14" t="str">
        <x:v>机械废料、生物废料</x:v>
      </x:c>
      <x:c r="H17" s="14" t="str">
        <x:v>废料处理</x:v>
      </x:c>
      <x:c r="I17" s="14" t="str">
        <x:v>处理手牌中的1张任意废料。</x:v>
      </x:c>
      <x:c r="J17" s="14" t="str">
        <x:v>可以处理1至2张任意废料</x:v>
      </x:c>
      <x:c r="K17" s="14" t="str">
        <x:v>重点实测</x:v>
      </x:c>
      <x:c r="L17" s="14" t="str">
        <x:v>作为最基础的通用处理牌，不再额外抽牌，避免机械废料处理后形成0费抽2。</x:v>
      </x:c>
      <x:c r="M17" s="14" t="str">
        <x:v>待审核</x:v>
      </x:c>
      <x:c r="N17" s="14" t="str">
        <x:v>P2</x:v>
      </x:c>
      <x:c r="O17" s="14" t="str"/>
      <x:c r="P17" s="14" t="str"/>
    </x:row>
    <x:row r="18">
      <x:c r="A18" s="14" t="n">
        <x:v>18</x:v>
      </x:c>
      <x:c r="B18" s="14" t="str">
        <x:v>快速装配</x:v>
      </x:c>
      <x:c r="C18" s="14" t="str">
        <x:v>普通</x:v>
      </x:c>
      <x:c r="D18" s="14" t="str">
        <x:v>0</x:v>
      </x:c>
      <x:c r="E18" s="14" t="str">
        <x:v>技能</x:v>
      </x:c>
      <x:c r="F18" s="14" t="str">
        <x:v>装配与产物</x:v>
      </x:c>
      <x:c r="G18" s="14" t="str">
        <x:v>装配/产物</x:v>
      </x:c>
      <x:c r="H18" s="14" t="str">
        <x:v>装配器</x:v>
      </x:c>
      <x:c r="I18" s="14" t="str">
        <x:v>装配2张相邻零件；产物0费1耐久；将1张机械废料加入弃牌堆。</x:v>
      </x:c>
      <x:c r="J18" s="14" t="str">
        <x:v>装配完成后抽1张牌</x:v>
      </x:c>
      <x:c r="K18" s="14" t="str">
        <x:v>高风险实测</x:v>
      </x:c>
      <x:c r="L18" s="14" t="str">
        <x:v>0费产物与次级能量储罐组合可能形成爆发回合，需要限制生物废料的免费处理来源。</x:v>
      </x:c>
      <x:c r="M18" s="14" t="str">
        <x:v>待审核</x:v>
      </x:c>
      <x:c r="N18" s="14" t="str">
        <x:v>P1</x:v>
      </x:c>
      <x:c r="O18" s="14" t="str"/>
      <x:c r="P18" s="14" t="str"/>
    </x:row>
    <x:row r="19">
      <x:c r="A19" s="14" t="n">
        <x:v>19</x:v>
      </x:c>
      <x:c r="B19" s="14" t="str">
        <x:v>三联装配</x:v>
      </x:c>
      <x:c r="C19" s="14" t="str">
        <x:v>罕见</x:v>
      </x:c>
      <x:c r="D19" s="14" t="str">
        <x:v>1</x:v>
      </x:c>
      <x:c r="E19" s="14" t="str">
        <x:v>技能</x:v>
      </x:c>
      <x:c r="F19" s="14" t="str">
        <x:v>装配与产物</x:v>
      </x:c>
      <x:c r="G19" s="14" t="str">
        <x:v>装配/产物</x:v>
      </x:c>
      <x:c r="H19" s="14" t="str">
        <x:v>装配器</x:v>
      </x:c>
      <x:c r="I19" s="14" t="str">
        <x:v>装配3张连续零件；产物2费2耐久；将2张机械废料加入弃牌堆。</x:v>
      </x:c>
      <x:c r="J19" s="14" t="str">
        <x:v>产物费用2→1</x:v>
      </x:c>
      <x:c r="K19" s="14" t="str">
        <x:v>重点实测</x:v>
      </x:c>
      <x:c r="L19" s="14" t="str">
        <x:v>大型机械装配为机械废料路线提供稳定数量，但不会自然产生生物废料。</x:v>
      </x:c>
      <x:c r="M19" s="14" t="str">
        <x:v>待审核</x:v>
      </x:c>
      <x:c r="N19" s="14" t="str">
        <x:v>P2</x:v>
      </x:c>
      <x:c r="O19" s="14" t="str"/>
      <x:c r="P19" s="14" t="str"/>
    </x:row>
    <x:row r="20">
      <x:c r="A20" s="14" t="n">
        <x:v>20</x:v>
      </x:c>
      <x:c r="B20" s="14" t="str">
        <x:v>精密装配</x:v>
      </x:c>
      <x:c r="C20" s="14" t="str">
        <x:v>罕见</x:v>
      </x:c>
      <x:c r="D20" s="14" t="str">
        <x:v>1</x:v>
      </x:c>
      <x:c r="E20" s="14" t="str">
        <x:v>技能</x:v>
      </x:c>
      <x:c r="F20" s="14" t="str">
        <x:v>装配与产物</x:v>
      </x:c>
      <x:c r="G20" s="14" t="str">
        <x:v>装配/产物</x:v>
      </x:c>
      <x:c r="H20" s="14" t="str">
        <x:v>装配器</x:v>
      </x:c>
      <x:c r="I20" s="14" t="str">
        <x:v>自由选择装配2或3张连续零件；产物费用为零件数量-1、基础2耐久；基础机械废料为数量-1，再少产生1张。</x:v>
      </x:c>
      <x:c r="J20" s="14" t="str">
        <x:v>产物最大及当前耐久+1</x:v>
      </x:c>
      <x:c r="K20" s="14" t="str">
        <x:v>重点实测</x:v>
      </x:c>
      <x:c r="L20" s="14" t="str">
        <x:v>精密路线降低机械污染，但不会减少生物类卡牌自身产生的生物废料。</x:v>
      </x:c>
      <x:c r="M20" s="14" t="str">
        <x:v>待审核</x:v>
      </x:c>
      <x:c r="N20" s="14" t="str">
        <x:v>P2</x:v>
      </x:c>
      <x:c r="O20" s="14" t="str"/>
      <x:c r="P20" s="14" t="str"/>
    </x:row>
    <x:row r="21">
      <x:c r="A21" s="14" t="n">
        <x:v>21</x:v>
      </x:c>
      <x:c r="B21" s="14" t="str">
        <x:v>分流阀</x:v>
      </x:c>
      <x:c r="C21" s="14" t="str">
        <x:v>罕见</x:v>
      </x:c>
      <x:c r="D21" s="14" t="str">
        <x:v>1</x:v>
      </x:c>
      <x:c r="E21" s="14" t="str">
        <x:v>技能</x:v>
      </x:c>
      <x:c r="F21" s="14" t="str">
        <x:v>位置编排</x:v>
      </x:c>
      <x:c r="G21" s="14" t="str">
        <x:v>位置编排</x:v>
      </x:c>
      <x:c r="H21" s="14" t="str">
        <x:v>功能/防御零件</x:v>
      </x:c>
      <x:c r="I21" s="14" t="str">
        <x:v>打出获得6格挡，并标记右侧相邻的1张攻击零件：该牌本回合改为攻击所有敌人，但伤害降低25%。模块：令后续首个单体伤害模块改为全体伤害。</x:v>
      </x:c>
      <x:c r="J21" s="14" t="str">
        <x:v>格挡6→9；直接标记不再降低伤害；模块使该次全体伤害提高25%</x:v>
      </x:c>
      <x:c r="K21" s="14" t="str">
        <x:v>重点实测</x:v>
      </x:c>
      <x:c r="L21" s="14" t="str">
        <x:v>玩家需要把分流阀放在攻击零件左侧；升级后形成明显的高价值位置组合。</x:v>
      </x:c>
      <x:c r="M21" s="14" t="str">
        <x:v>待审核</x:v>
      </x:c>
      <x:c r="N21" s="14" t="str">
        <x:v>P2</x:v>
      </x:c>
      <x:c r="O21" s="14" t="str"/>
      <x:c r="P21" s="14" t="str"/>
    </x:row>
    <x:row r="22">
      <x:c r="A22" s="14" t="n">
        <x:v>22</x:v>
      </x:c>
      <x:c r="B22" s="14" t="str">
        <x:v>强化框架</x:v>
      </x:c>
      <x:c r="C22" s="14" t="str">
        <x:v>罕见</x:v>
      </x:c>
      <x:c r="D22" s="14" t="str">
        <x:v>1</x:v>
      </x:c>
      <x:c r="E22" s="14" t="str">
        <x:v>技能</x:v>
      </x:c>
      <x:c r="F22" s="14" t="str">
        <x:v>维修与故障</x:v>
      </x:c>
      <x:c r="G22" s="14" t="str">
        <x:v>位置编排、维修/故障</x:v>
      </x:c>
      <x:c r="H22" s="14" t="str">
        <x:v>功能/防御零件</x:v>
      </x:c>
      <x:c r="I22" s="14" t="str">
        <x:v>打出获得8格挡；若位于手牌最左侧，维修1点耐久；若位于最右侧，额外获得3格挡。模块：若为首模块，产物最大及当前耐久+1；若为末模块，产物第一次使用不损失耐久。</x:v>
      </x:c>
      <x:c r="J22" s="14" t="str">
        <x:v>格挡8→11；左端维修1→2；右端额外3→4；模块效果不变</x:v>
      </x:c>
      <x:c r="K22" s="14" t="str">
        <x:v>重点实测</x:v>
      </x:c>
      <x:c r="L22" s="14" t="str">
        <x:v>大型产物需要在“更高最大耐久”和“免费使用一次”之间选择框架位置。</x:v>
      </x:c>
      <x:c r="M22" s="14" t="str">
        <x:v>待审核</x:v>
      </x:c>
      <x:c r="N22" s="14" t="str">
        <x:v>P2</x:v>
      </x:c>
      <x:c r="O22" s="14" t="str"/>
      <x:c r="P22" s="14" t="str"/>
    </x:row>
    <x:row r="23">
      <x:c r="A23" s="14" t="n">
        <x:v>23</x:v>
      </x:c>
      <x:c r="B23" s="14" t="str">
        <x:v>废料熔炼</x:v>
      </x:c>
      <x:c r="C23" s="14" t="str">
        <x:v>罕见</x:v>
      </x:c>
      <x:c r="D23" s="14" t="str">
        <x:v>1</x:v>
      </x:c>
      <x:c r="E23" s="14" t="str">
        <x:v>技能</x:v>
      </x:c>
      <x:c r="F23" s="14" t="str">
        <x:v>双废料-通用/混合</x:v>
      </x:c>
      <x:c r="G23" s="14" t="str">
        <x:v>机械废料、生物废料</x:v>
      </x:c>
      <x:c r="H23" s="14" t="str">
        <x:v>废料处理</x:v>
      </x:c>
      <x:c r="I23" s="14" t="str">
        <x:v>消耗手牌中1至3张任意废料，每张获得4格挡；若至少消耗2张，获得1能量。该消耗不触发废料的处理产物。</x:v>
      </x:c>
      <x:c r="J23" s="14" t="str">
        <x:v>每张4→6格挡</x:v>
      </x:c>
      <x:c r="K23" s="14" t="str">
        <x:v>重点实测</x:v>
      </x:c>
      <x:c r="L23" s="14" t="str">
        <x:v>与“处理”区分：处理回收次级部件，熔炼直接转化为格挡和能量。</x:v>
      </x:c>
      <x:c r="M23" s="14" t="str">
        <x:v>待审核</x:v>
      </x:c>
      <x:c r="N23" s="14" t="str">
        <x:v>P2</x:v>
      </x:c>
      <x:c r="O23" s="14" t="str"/>
      <x:c r="P23" s="14" t="str"/>
    </x:row>
    <x:row r="24">
      <x:c r="A24" s="14" t="n">
        <x:v>24</x:v>
      </x:c>
      <x:c r="B24" s="14" t="str">
        <x:v>临时补丁</x:v>
      </x:c>
      <x:c r="C24" s="14" t="str">
        <x:v>罕见</x:v>
      </x:c>
      <x:c r="D24" s="14" t="str">
        <x:v>0</x:v>
      </x:c>
      <x:c r="E24" s="14" t="str">
        <x:v>技能</x:v>
      </x:c>
      <x:c r="F24" s="14" t="str">
        <x:v>维修与故障</x:v>
      </x:c>
      <x:c r="G24" s="14" t="str">
        <x:v>维修/故障</x:v>
      </x:c>
      <x:c r="H24" s="14" t="str">
        <x:v>维修</x:v>
      </x:c>
      <x:c r="I24" s="14" t="str">
        <x:v>维修故障产物1点并令其下次0费，使用后消耗产物</x:v>
      </x:c>
      <x:c r="J24" s="14" t="str">
        <x:v>使用后改为重新故障</x:v>
      </x:c>
      <x:c r="K24" s="14" t="str">
        <x:v>需澄清</x:v>
      </x:c>
      <x:c r="L24" s="14" t="str">
        <x:v>“下次0费”和“使用后消耗/重新故障”的持续时间与目标状态需要明确。</x:v>
      </x:c>
      <x:c r="M24" s="14" t="str">
        <x:v>待审核</x:v>
      </x:c>
      <x:c r="N24" s="14" t="str">
        <x:v>P1</x:v>
      </x:c>
      <x:c r="O24" s="14" t="str"/>
      <x:c r="P24" s="14" t="str"/>
    </x:row>
    <x:row r="25">
      <x:c r="A25" s="14" t="n">
        <x:v>25</x:v>
      </x:c>
      <x:c r="B25" s="14" t="str">
        <x:v>逆向传送</x:v>
      </x:c>
      <x:c r="C25" s="14" t="str">
        <x:v>罕见</x:v>
      </x:c>
      <x:c r="D25" s="14" t="str">
        <x:v>1</x:v>
      </x:c>
      <x:c r="E25" s="14" t="str">
        <x:v>技能</x:v>
      </x:c>
      <x:c r="F25" s="14" t="str">
        <x:v>通用零件/功能</x:v>
      </x:c>
      <x:c r="G25" s="14" t="str">
        <x:v>—</x:v>
      </x:c>
      <x:c r="H25" s="14" t="str">
        <x:v>位置调整</x:v>
      </x:c>
      <x:c r="I25" s="14" t="str">
        <x:v>反转至多4张连续手牌并抽1张</x:v>
      </x:c>
      <x:c r="J25" s="14" t="str">
        <x:v>费用1→0</x:v>
      </x:c>
      <x:c r="K25" s="14" t="str">
        <x:v>需修改</x:v>
      </x:c>
      <x:c r="L25" s="14" t="str">
        <x:v>“至多4张”当前强制选择4张；若允许只选1张，升级后会变成无条件0费抽1。</x:v>
      </x:c>
      <x:c r="M25" s="14" t="str">
        <x:v>待审核</x:v>
      </x:c>
      <x:c r="N25" s="14" t="str">
        <x:v>P1</x:v>
      </x:c>
      <x:c r="O25" s="14" t="str"/>
      <x:c r="P25" s="14" t="str"/>
    </x:row>
    <x:row r="26">
      <x:c r="A26" s="14" t="n">
        <x:v>26</x:v>
      </x:c>
      <x:c r="B26" s="14" t="str">
        <x:v>废料填充</x:v>
      </x:c>
      <x:c r="C26" s="14" t="str">
        <x:v>罕见</x:v>
      </x:c>
      <x:c r="D26" s="14" t="str">
        <x:v>1</x:v>
      </x:c>
      <x:c r="E26" s="14" t="str">
        <x:v>技能</x:v>
      </x:c>
      <x:c r="F26" s="14" t="str">
        <x:v>双废料-通用/混合</x:v>
      </x:c>
      <x:c r="G26" s="14" t="str">
        <x:v>机械废料、生物废料</x:v>
      </x:c>
      <x:c r="H26" s="14" t="str">
        <x:v>装配器</x:v>
      </x:c>
      <x:c r="I26" s="14" t="str">
        <x:v>选择连续的3张手牌，其中恰好包含2张零件与1张任意废料；按原顺序装配。产物1费、基础2耐久；废料成为5格挡模块并使最大耐久-1。</x:v>
      </x:c>
      <x:c r="J26" s="14" t="str">
        <x:v>废料模块5→8格挡</x:v>
      </x:c>
      <x:c r="K26" s="14" t="str">
        <x:v>重点实测</x:v>
      </x:c>
      <x:c r="L26" s="14" t="str">
        <x:v>废料填充提供第三种处理方向：不回收，而是把废料直接封装进产物。</x:v>
      </x:c>
      <x:c r="M26" s="14" t="str">
        <x:v>待审核</x:v>
      </x:c>
      <x:c r="N26" s="14" t="str">
        <x:v>P2</x:v>
      </x:c>
      <x:c r="O26" s="14" t="str"/>
      <x:c r="P26" s="14" t="str"/>
    </x:row>
    <x:row r="27">
      <x:c r="A27" s="14" t="n">
        <x:v>27</x:v>
      </x:c>
      <x:c r="B27" s="14" t="str">
        <x:v>全自动生产</x:v>
      </x:c>
      <x:c r="C27" s="14" t="str">
        <x:v>稀有</x:v>
      </x:c>
      <x:c r="D27" s="14" t="str">
        <x:v>2</x:v>
      </x:c>
      <x:c r="E27" s="14" t="str">
        <x:v>能力</x:v>
      </x:c>
      <x:c r="F27" s="14" t="str">
        <x:v>装配与产物</x:v>
      </x:c>
      <x:c r="G27" s="14" t="str">
        <x:v>装配/产物</x:v>
      </x:c>
      <x:c r="H27" s="14" t="str">
        <x:v>能力核心</x:v>
      </x:c>
      <x:c r="I27" s="14" t="str">
        <x:v>每回合首次装配抽1并少产生1废料</x:v>
      </x:c>
      <x:c r="J27" s="14" t="str">
        <x:v>费用2→1</x:v>
      </x:c>
      <x:c r="K27" s="14" t="str">
        <x:v>需澄清</x:v>
      </x:c>
      <x:c r="L27" s="14" t="str">
        <x:v>多张能力不叠加“首次次数”，但抽牌与减废是否按副本叠加未定义。</x:v>
      </x:c>
      <x:c r="M27" s="14" t="str">
        <x:v>待审核</x:v>
      </x:c>
      <x:c r="N27" s="14" t="str">
        <x:v>P1</x:v>
      </x:c>
      <x:c r="O27" s="14" t="str"/>
      <x:c r="P27" s="14" t="str"/>
    </x:row>
    <x:row r="28">
      <x:c r="A28" s="14" t="n">
        <x:v>28</x:v>
      </x:c>
      <x:c r="B28" s="14" t="str">
        <x:v>预防性维护</x:v>
      </x:c>
      <x:c r="C28" s="14" t="str">
        <x:v>稀有</x:v>
      </x:c>
      <x:c r="D28" s="14" t="str">
        <x:v>1</x:v>
      </x:c>
      <x:c r="E28" s="14" t="str">
        <x:v>能力</x:v>
      </x:c>
      <x:c r="F28" s="14" t="str">
        <x:v>维修与故障</x:v>
      </x:c>
      <x:c r="G28" s="14" t="str">
        <x:v>维修/故障</x:v>
      </x:c>
      <x:c r="H28" s="14" t="str">
        <x:v>能力核心</x:v>
      </x:c>
      <x:c r="I28" s="14" t="str">
        <x:v>每回合首次使用产物不失耐久</x:v>
      </x:c>
      <x:c r="J28" s="14" t="str">
        <x:v>每回合首次维修抽1</x:v>
      </x:c>
      <x:c r="K28" s="14" t="str">
        <x:v>需澄清</x:v>
      </x:c>
      <x:c r="L28" s="14" t="str">
        <x:v>多个副本对首次使用和升级后的首次维修如何叠加未定义。</x:v>
      </x:c>
      <x:c r="M28" s="14" t="str">
        <x:v>待审核</x:v>
      </x:c>
      <x:c r="N28" s="14" t="str">
        <x:v>P1</x:v>
      </x:c>
      <x:c r="O28" s="14" t="str"/>
      <x:c r="P28" s="14" t="str"/>
    </x:row>
    <x:row r="29">
      <x:c r="A29" s="14" t="n">
        <x:v>29</x:v>
      </x:c>
      <x:c r="B29" s="14" t="str">
        <x:v>自修复核心</x:v>
      </x:c>
      <x:c r="C29" s="14" t="str">
        <x:v>稀有</x:v>
      </x:c>
      <x:c r="D29" s="14" t="str">
        <x:v>1</x:v>
      </x:c>
      <x:c r="E29" s="14" t="str">
        <x:v>技能</x:v>
      </x:c>
      <x:c r="F29" s="14" t="str">
        <x:v>维修与故障</x:v>
      </x:c>
      <x:c r="G29" s="14" t="str">
        <x:v>维修/故障</x:v>
      </x:c>
      <x:c r="H29" s="14" t="str">
        <x:v>功能/防御零件</x:v>
      </x:c>
      <x:c r="I29" s="14" t="str">
        <x:v>打出维修一个产物2点。模块：产物扣除耐久后，可消耗手牌中1张任意废料（不触发处理），若如此做，恢复1点耐久。</x:v>
      </x:c>
      <x:c r="J29" s="14" t="str">
        <x:v>模块额外获得1能量</x:v>
      </x:c>
      <x:c r="K29" s="14" t="str">
        <x:v>高风险实测</x:v>
      </x:c>
      <x:c r="L29" s="14" t="str">
        <x:v>自修复核心选择牺牲废料的次级产物，换取设备续航。</x:v>
      </x:c>
      <x:c r="M29" s="14" t="str">
        <x:v>待审核</x:v>
      </x:c>
      <x:c r="N29" s="14" t="str">
        <x:v>P1</x:v>
      </x:c>
      <x:c r="O29" s="14" t="str"/>
      <x:c r="P29" s="14" t="str"/>
    </x:row>
    <x:row r="30">
      <x:c r="A30" s="14" t="n">
        <x:v>30</x:v>
      </x:c>
      <x:c r="B30" s="14" t="str">
        <x:v>逆向工程</x:v>
      </x:c>
      <x:c r="C30" s="14" t="str">
        <x:v>稀有</x:v>
      </x:c>
      <x:c r="D30" s="14" t="str">
        <x:v>1</x:v>
      </x:c>
      <x:c r="E30" s="14" t="str">
        <x:v>技能</x:v>
      </x:c>
      <x:c r="F30" s="14" t="str">
        <x:v>通用零件/功能</x:v>
      </x:c>
      <x:c r="G30" s="14" t="str">
        <x:v>—</x:v>
      </x:c>
      <x:c r="H30" s="14" t="str">
        <x:v>通用功能</x:v>
      </x:c>
      <x:c r="I30" s="14" t="str">
        <x:v>拆解产物并将原零件逆序返回手牌</x:v>
      </x:c>
      <x:c r="J30" s="14" t="str">
        <x:v>原顺序返回且首张本回合0费</x:v>
      </x:c>
      <x:c r="K30" s="14" t="str">
        <x:v>需澄清</x:v>
      </x:c>
      <x:c r="L30" s="14" t="str">
        <x:v>手牌溢出、零件升级状态、临时费用修改和产物结构模块移除后的处理未完整定义。</x:v>
      </x:c>
      <x:c r="M30" s="14" t="str">
        <x:v>待审核</x:v>
      </x:c>
      <x:c r="N30" s="14" t="str">
        <x:v>P1</x:v>
      </x:c>
      <x:c r="O30" s="14" t="str"/>
      <x:c r="P30" s="14" t="str"/>
    </x:row>
    <x:row r="31">
      <x:c r="A31" s="14" t="n">
        <x:v>31</x:v>
      </x:c>
      <x:c r="B31" s="14" t="str">
        <x:v>工业奇迹</x:v>
      </x:c>
      <x:c r="C31" s="14" t="str">
        <x:v>稀有</x:v>
      </x:c>
      <x:c r="D31" s="14" t="str">
        <x:v>2</x:v>
      </x:c>
      <x:c r="E31" s="14" t="str">
        <x:v>技能</x:v>
      </x:c>
      <x:c r="F31" s="14" t="str">
        <x:v>装配与产物</x:v>
      </x:c>
      <x:c r="G31" s="14" t="str">
        <x:v>装配/产物</x:v>
      </x:c>
      <x:c r="H31" s="14" t="str">
        <x:v>装配器</x:v>
      </x:c>
      <x:c r="I31" s="14" t="str">
        <x:v>装配4张连续零件；产物2费3耐久；将3张机械废料加入弃牌堆；首次使用时每个输出模块额外执行一次。</x:v>
      </x:c>
      <x:c r="J31" s="14" t="str">
        <x:v>机械废料3→2</x:v>
      </x:c>
      <x:c r="K31" s="14" t="str">
        <x:v>重点实测</x:v>
      </x:c>
      <x:c r="L31" s="14" t="str">
        <x:v>工业奇迹会显著喂养机械回收体系，但仍需跨回合承担污染。</x:v>
      </x:c>
      <x:c r="M31" s="14" t="str">
        <x:v>待审核</x:v>
      </x:c>
      <x:c r="N31" s="14" t="str">
        <x:v>P2</x:v>
      </x:c>
      <x:c r="O31" s="14" t="str"/>
      <x:c r="P31" s="14" t="str"/>
    </x:row>
    <x:row r="32">
      <x:c r="A32" s="14" t="n">
        <x:v>32</x:v>
      </x:c>
      <x:c r="B32" s="14" t="str">
        <x:v>临时缓存</x:v>
      </x:c>
      <x:c r="C32" s="14" t="str">
        <x:v>普通</x:v>
      </x:c>
      <x:c r="D32" s="14" t="str">
        <x:v>0</x:v>
      </x:c>
      <x:c r="E32" s="14" t="str">
        <x:v>技能</x:v>
      </x:c>
      <x:c r="F32" s="14" t="str">
        <x:v>位置编排</x:v>
      </x:c>
      <x:c r="G32" s="14" t="str">
        <x:v>位置编排</x:v>
      </x:c>
      <x:c r="H32" s="14" t="str">
        <x:v>通用功能</x:v>
      </x:c>
      <x:c r="I32" s="14" t="str">
        <x:v>选择另一张手牌暂存。若该牌原本夹在两张零件之间，本回合下一次装配完成后抽1张牌。装配后或回合结束前将暂存牌放回手牌最右侧。</x:v>
      </x:c>
      <x:c r="J32" s="14" t="str">
        <x:v>返回手牌时，本回合费用降低1</x:v>
      </x:c>
      <x:c r="K32" s="14" t="str">
        <x:v>重点实测</x:v>
      </x:c>
      <x:c r="L32" s="14" t="str">
        <x:v>用于移走诅咒、废料或功能牌造成的隔断，并把“打通两个零件”转化为抽牌收益。</x:v>
      </x:c>
      <x:c r="M32" s="14" t="str">
        <x:v>待审核</x:v>
      </x:c>
      <x:c r="N32" s="14" t="str">
        <x:v>P2</x:v>
      </x:c>
      <x:c r="O32" s="14" t="str"/>
      <x:c r="P32" s="14" t="str"/>
    </x:row>
    <x:row r="33">
      <x:c r="A33" s="14" t="n">
        <x:v>33</x:v>
      </x:c>
      <x:c r="B33" s="14" t="str">
        <x:v>批次标签</x:v>
      </x:c>
      <x:c r="C33" s="14" t="str">
        <x:v>普通</x:v>
      </x:c>
      <x:c r="D33" s="14" t="str">
        <x:v>0</x:v>
      </x:c>
      <x:c r="E33" s="14" t="str">
        <x:v>技能</x:v>
      </x:c>
      <x:c r="F33" s="14" t="str">
        <x:v>装配与产物</x:v>
      </x:c>
      <x:c r="G33" s="14" t="str">
        <x:v>装配/产物、位置编排</x:v>
      </x:c>
      <x:c r="H33" s="14" t="str">
        <x:v>位置调整</x:v>
      </x:c>
      <x:c r="I33" s="14" t="str">
        <x:v>选择1张零件并标记。若其本回合被装配为首模块，装配后抽1张牌；若被装配为末模块，产物本回合费用降低1。只能触发实际所在位置对应的效果。</x:v>
      </x:c>
      <x:c r="J33" s="14" t="str">
        <x:v>若该零件是中间模块，装配后获得1能量</x:v>
      </x:c>
      <x:c r="K33" s="14" t="str">
        <x:v>高风险实测</x:v>
      </x:c>
      <x:c r="L33" s="14" t="str">
        <x:v>同一零件放在首、中、尾分别提供抽牌、能量或费用收益，直接提高模块位置价值。</x:v>
      </x:c>
      <x:c r="M33" s="14" t="str">
        <x:v>待审核</x:v>
      </x:c>
      <x:c r="N33" s="14" t="str">
        <x:v>P1</x:v>
      </x:c>
      <x:c r="O33" s="14" t="str"/>
      <x:c r="P33" s="14" t="str"/>
    </x:row>
    <x:row r="34">
      <x:c r="A34" s="14" t="n">
        <x:v>34</x:v>
      </x:c>
      <x:c r="B34" s="14" t="str">
        <x:v>旁路导轨</x:v>
      </x:c>
      <x:c r="C34" s="14" t="str">
        <x:v>普通</x:v>
      </x:c>
      <x:c r="D34" s="14" t="str">
        <x:v>0</x:v>
      </x:c>
      <x:c r="E34" s="14" t="str">
        <x:v>技能</x:v>
      </x:c>
      <x:c r="F34" s="14" t="str">
        <x:v>位置编排</x:v>
      </x:c>
      <x:c r="G34" s="14" t="str">
        <x:v>位置编排</x:v>
      </x:c>
      <x:c r="H34" s="14" t="str">
        <x:v>废料处理</x:v>
      </x:c>
      <x:c r="I34" s="14" t="str">
        <x:v>本回合下一次装配可跨过选中零件之间恰好1张任意废料。装配后将该废料移至手牌最左或最右；若移到送料器旁，抽1张。</x:v>
      </x:c>
      <x:c r="J34" s="14" t="str">
        <x:v>无论移动到哪一端，装配后抽1张</x:v>
      </x:c>
      <x:c r="K34" s="14" t="str">
        <x:v>重点实测</x:v>
      </x:c>
      <x:c r="L34" s="14" t="str">
        <x:v>两类废料都可作为生产线隔断，旁路只改变位置而不回收。</x:v>
      </x:c>
      <x:c r="M34" s="14" t="str">
        <x:v>待审核</x:v>
      </x:c>
      <x:c r="N34" s="14" t="str">
        <x:v>P2</x:v>
      </x:c>
      <x:c r="O34" s="14" t="str"/>
      <x:c r="P34" s="14" t="str"/>
    </x:row>
    <x:row r="35">
      <x:c r="A35" s="14" t="n">
        <x:v>35</x:v>
      </x:c>
      <x:c r="B35" s="14" t="str">
        <x:v>滚轮组</x:v>
      </x:c>
      <x:c r="C35" s="14" t="str">
        <x:v>普通</x:v>
      </x:c>
      <x:c r="D35" s="14" t="str">
        <x:v>1</x:v>
      </x:c>
      <x:c r="E35" s="14" t="str">
        <x:v>技能</x:v>
      </x:c>
      <x:c r="F35" s="14" t="str">
        <x:v>抽牌堆-预排产</x:v>
      </x:c>
      <x:c r="G35" s="14" t="str">
        <x:v>位置编排、抽牌堆</x:v>
      </x:c>
      <x:c r="H35" s="14" t="str">
        <x:v>功能/防御零件</x:v>
      </x:c>
      <x:c r="I35" s="14" t="str">
        <x:v>打出抽1张牌，然后将1张手牌放到抽牌堆底。模块：若为首模块，先将1张手牌放到底部再抽1张；若为末模块，先抽1张再将1张手牌放到底部。</x:v>
      </x:c>
      <x:c r="J35" s="14" t="str">
        <x:v>打出抽2张后放回1张；模块不变</x:v>
      </x:c>
      <x:c r="K35" s="14" t="str">
        <x:v>重点实测</x:v>
      </x:c>
      <x:c r="L35" s="14" t="str">
        <x:v>让模块端点不仅改变数值，还改变过滤操作顺序。</x:v>
      </x:c>
      <x:c r="M35" s="14" t="str">
        <x:v>待审核</x:v>
      </x:c>
      <x:c r="N35" s="14" t="str">
        <x:v>P2</x:v>
      </x:c>
      <x:c r="O35" s="14" t="str"/>
      <x:c r="P35" s="14" t="str"/>
    </x:row>
    <x:row r="36">
      <x:c r="A36" s="14" t="n">
        <x:v>36</x:v>
      </x:c>
      <x:c r="B36" s="14" t="str">
        <x:v>出料计数器</x:v>
      </x:c>
      <x:c r="C36" s="14" t="str">
        <x:v>普通</x:v>
      </x:c>
      <x:c r="D36" s="14" t="str">
        <x:v>1</x:v>
      </x:c>
      <x:c r="E36" s="14" t="str">
        <x:v>技能</x:v>
      </x:c>
      <x:c r="F36" s="14" t="str">
        <x:v>位置编排</x:v>
      </x:c>
      <x:c r="G36" s="14" t="str">
        <x:v>位置编排</x:v>
      </x:c>
      <x:c r="H36" s="14" t="str">
        <x:v>装配器</x:v>
      </x:c>
      <x:c r="I36" s="14" t="str">
        <x:v>获得5格挡。若此牌位于手牌最右侧且本回合已装配，抽1张牌。模块：获得4格挡；若为产物末模块，抽1张牌。</x:v>
      </x:c>
      <x:c r="J36" s="14" t="str">
        <x:v>格挡5→8；模块格挡4→6</x:v>
      </x:c>
      <x:c r="K36" s="14" t="str">
        <x:v>重点实测</x:v>
      </x:c>
      <x:c r="L36" s="14" t="str">
        <x:v>作为明确的末端模块，补充装配后的手牌并与侧翼护板的左右分支形成差异。</x:v>
      </x:c>
      <x:c r="M36" s="14" t="str">
        <x:v>待审核</x:v>
      </x:c>
      <x:c r="N36" s="14" t="str">
        <x:v>P2</x:v>
      </x:c>
      <x:c r="O36" s="14" t="str"/>
      <x:c r="P36" s="14" t="str"/>
    </x:row>
    <x:row r="37">
      <x:c r="A37" s="14" t="n">
        <x:v>37</x:v>
      </x:c>
      <x:c r="B37" s="14" t="str">
        <x:v>工序复核</x:v>
      </x:c>
      <x:c r="C37" s="14" t="str">
        <x:v>罕见</x:v>
      </x:c>
      <x:c r="D37" s="14" t="str">
        <x:v>1</x:v>
      </x:c>
      <x:c r="E37" s="14" t="str">
        <x:v>技能</x:v>
      </x:c>
      <x:c r="F37" s="14" t="str">
        <x:v>位置编排</x:v>
      </x:c>
      <x:c r="G37" s="14" t="str">
        <x:v>位置编排</x:v>
      </x:c>
      <x:c r="H37" s="14" t="str">
        <x:v>位置调整</x:v>
      </x:c>
      <x:c r="I37" s="14" t="str">
        <x:v>选择手牌中的1个产物，交换其中任意两个相邻模块。若交换后至少有1个模块新满足首端、末端或中间位置条件，抽1张牌。</x:v>
      </x:c>
      <x:c r="J37" s="14" t="str">
        <x:v>费用1→0</x:v>
      </x:c>
      <x:c r="K37" s="14" t="str">
        <x:v>重点实测</x:v>
      </x:c>
      <x:c r="L37" s="14" t="str">
        <x:v>使装配后的模块顺序仍可修正，并奖励真正激活位置模块，而非无条件抽牌。</x:v>
      </x:c>
      <x:c r="M37" s="14" t="str">
        <x:v>待审核</x:v>
      </x:c>
      <x:c r="N37" s="14" t="str">
        <x:v>P2</x:v>
      </x:c>
      <x:c r="O37" s="14" t="str"/>
      <x:c r="P37" s="14" t="str"/>
    </x:row>
    <x:row r="38">
      <x:c r="A38" s="14" t="n">
        <x:v>38</x:v>
      </x:c>
      <x:c r="B38" s="14" t="str">
        <x:v>退料器</x:v>
      </x:c>
      <x:c r="C38" s="14" t="str">
        <x:v>罕见</x:v>
      </x:c>
      <x:c r="D38" s="14" t="str">
        <x:v>1</x:v>
      </x:c>
      <x:c r="E38" s="14" t="str">
        <x:v>技能</x:v>
      </x:c>
      <x:c r="F38" s="14" t="str">
        <x:v>维修与故障</x:v>
      </x:c>
      <x:c r="G38" s="14" t="str">
        <x:v>位置编排、维修/故障</x:v>
      </x:c>
      <x:c r="H38" s="14" t="str">
        <x:v>位置调整</x:v>
      </x:c>
      <x:c r="I38" s="14" t="str">
        <x:v>选择1个产物的首模块或末模块，将对应零件返回手牌。取回首模块时抽1张牌；取回末模块时使返回零件本回合费用变为0。产物最大耐久降低1。</x:v>
      </x:c>
      <x:c r="J38" s="14" t="str">
        <x:v>移除消耗</x:v>
      </x:c>
      <x:c r="K38" s="14" t="str">
        <x:v>重点实测</x:v>
      </x:c>
      <x:c r="L38" s="14" t="str">
        <x:v>首端回收偏运转，末端回收偏爆发，让退料方向成为实质决策。</x:v>
      </x:c>
      <x:c r="M38" s="14" t="str">
        <x:v>待审核</x:v>
      </x:c>
      <x:c r="N38" s="14" t="str">
        <x:v>P2</x:v>
      </x:c>
      <x:c r="O38" s="14" t="str"/>
      <x:c r="P38" s="14" t="str"/>
    </x:row>
    <x:row r="39">
      <x:c r="A39" s="14" t="n">
        <x:v>39</x:v>
      </x:c>
      <x:c r="B39" s="14" t="str">
        <x:v>二次投料</x:v>
      </x:c>
      <x:c r="C39" s="14" t="str">
        <x:v>罕见</x:v>
      </x:c>
      <x:c r="D39" s="14" t="str">
        <x:v>1</x:v>
      </x:c>
      <x:c r="E39" s="14" t="str">
        <x:v>技能</x:v>
      </x:c>
      <x:c r="F39" s="14" t="str">
        <x:v>弃牌堆-返工</x:v>
      </x:c>
      <x:c r="G39" s="14" t="str">
        <x:v>抽牌堆、弃牌堆</x:v>
      </x:c>
      <x:c r="H39" s="14" t="str">
        <x:v>通用功能</x:v>
      </x:c>
      <x:c r="I39" s="14" t="str">
        <x:v>从弃牌堆选择至多2张零件，按指定左右顺序放到抽牌堆顶。若选择了攻击与技能各1张，抽1张牌。</x:v>
      </x:c>
      <x:c r="J39" s="14" t="str">
        <x:v>可选择至多3张；若首尾卡牌类型不同，再抽1张</x:v>
      </x:c>
      <x:c r="K39" s="14" t="str">
        <x:v>重点实测</x:v>
      </x:c>
      <x:c r="L39" s="14" t="str">
        <x:v>不仅回收零件，还预先安排它们进入手牌的相对顺序，并奖励混合类型生产线。</x:v>
      </x:c>
      <x:c r="M39" s="14" t="str">
        <x:v>待审核</x:v>
      </x:c>
      <x:c r="N39" s="14" t="str">
        <x:v>P2</x:v>
      </x:c>
      <x:c r="O39" s="14" t="str"/>
      <x:c r="P39" s="14" t="str"/>
    </x:row>
    <x:row r="40">
      <x:c r="A40" s="14" t="n">
        <x:v>40</x:v>
      </x:c>
      <x:c r="B40" s="14" t="str">
        <x:v>联锁工位</x:v>
      </x:c>
      <x:c r="C40" s="14" t="str">
        <x:v>罕见</x:v>
      </x:c>
      <x:c r="D40" s="14" t="str">
        <x:v>1</x:v>
      </x:c>
      <x:c r="E40" s="14" t="str">
        <x:v>能力</x:v>
      </x:c>
      <x:c r="F40" s="14" t="str">
        <x:v>装配与产物</x:v>
      </x:c>
      <x:c r="G40" s="14" t="str">
        <x:v>装配/产物、位置编排</x:v>
      </x:c>
      <x:c r="H40" s="14" t="str">
        <x:v>能力核心</x:v>
      </x:c>
      <x:c r="I40" s="14" t="str">
        <x:v>每回合第一次装配出首模块与末模块卡牌类型不同的产物时，抽1张牌。若存在至少1个中间模块，再获得4格挡。</x:v>
      </x:c>
      <x:c r="J40" s="14" t="str">
        <x:v>每回合前两次满足条件时触发</x:v>
      </x:c>
      <x:c r="K40" s="14" t="str">
        <x:v>重点实测</x:v>
      </x:c>
      <x:c r="L40" s="14" t="str">
        <x:v>奖励首尾异型和三模块以上产物，避免只堆叠同类输出零件。</x:v>
      </x:c>
      <x:c r="M40" s="14" t="str">
        <x:v>待审核</x:v>
      </x:c>
      <x:c r="N40" s="14" t="str">
        <x:v>P2</x:v>
      </x:c>
      <x:c r="O40" s="14" t="str"/>
      <x:c r="P40" s="14" t="str"/>
    </x:row>
    <x:row r="41">
      <x:c r="A41" s="14" t="n">
        <x:v>41</x:v>
      </x:c>
      <x:c r="B41" s="14" t="str">
        <x:v>补料指令</x:v>
      </x:c>
      <x:c r="C41" s="14" t="str">
        <x:v>罕见</x:v>
      </x:c>
      <x:c r="D41" s="14" t="str">
        <x:v>1</x:v>
      </x:c>
      <x:c r="E41" s="14" t="str">
        <x:v>技能</x:v>
      </x:c>
      <x:c r="F41" s="14" t="str">
        <x:v>装配与产物</x:v>
      </x:c>
      <x:c r="G41" s="14" t="str">
        <x:v>装配/产物、位置编排</x:v>
      </x:c>
      <x:c r="H41" s="14" t="str">
        <x:v>装配器</x:v>
      </x:c>
      <x:c r="I41" s="14" t="str">
        <x:v>只能在本回合已装配后使用。若最新产物位于手牌最左侧，抽至5张；若位于最右侧，抽至4张并获得1能量；否则抽2张。</x:v>
      </x:c>
      <x:c r="J41" s="14" t="str">
        <x:v>左侧抽至6张；右侧抽至5张并获得1能量；中间抽3张</x:v>
      </x:c>
      <x:c r="K41" s="14" t="str">
        <x:v>高风险实测</x:v>
      </x:c>
      <x:c r="L41" s="14" t="str">
        <x:v>装配前需要规划产物落点：左端提供最大补牌，右端提供能量，中间提供稳定收益。</x:v>
      </x:c>
      <x:c r="M41" s="14" t="str">
        <x:v>待审核</x:v>
      </x:c>
      <x:c r="N41" s="14" t="str">
        <x:v>P1</x:v>
      </x:c>
      <x:c r="O41" s="14" t="str"/>
      <x:c r="P41" s="14" t="str"/>
    </x:row>
    <x:row r="42">
      <x:c r="A42" s="14" t="n">
        <x:v>42</x:v>
      </x:c>
      <x:c r="B42" s="14" t="str">
        <x:v>模块回流</x:v>
      </x:c>
      <x:c r="C42" s="14" t="str">
        <x:v>稀有</x:v>
      </x:c>
      <x:c r="D42" s="14" t="str">
        <x:v>2</x:v>
      </x:c>
      <x:c r="E42" s="14" t="str">
        <x:v>能力</x:v>
      </x:c>
      <x:c r="F42" s="14" t="str">
        <x:v>维修与故障</x:v>
      </x:c>
      <x:c r="G42" s="14" t="str">
        <x:v>维修/故障</x:v>
      </x:c>
      <x:c r="H42" s="14" t="str">
        <x:v>能力核心</x:v>
      </x:c>
      <x:c r="I42" s="14" t="str">
        <x:v>每回合第一次产物变为故障时，选择其首模块或末模块返回手牌。回收首模块时抽1张牌；回收末模块时恢复该产物1点耐久。随后从产物移除该模块。</x:v>
      </x:c>
      <x:c r="J42" s="14" t="str">
        <x:v>费用2→1</x:v>
      </x:c>
      <x:c r="K42" s="14" t="str">
        <x:v>高风险实测</x:v>
      </x:c>
      <x:c r="L42" s="14" t="str">
        <x:v>故障时首端偏零件回流，末端偏维持产物寿命，产物结构会逐次缩短。</x:v>
      </x:c>
      <x:c r="M42" s="14" t="str">
        <x:v>待审核</x:v>
      </x:c>
      <x:c r="N42" s="14" t="str">
        <x:v>P1</x:v>
      </x:c>
      <x:c r="O42" s="14" t="str"/>
      <x:c r="P42" s="14" t="str"/>
    </x:row>
    <x:row r="43">
      <x:c r="A43" s="14" t="n">
        <x:v>43</x:v>
      </x:c>
      <x:c r="B43" s="14" t="str">
        <x:v>整线重排</x:v>
      </x:c>
      <x:c r="C43" s="14" t="str">
        <x:v>稀有</x:v>
      </x:c>
      <x:c r="D43" s="14" t="str">
        <x:v>1</x:v>
      </x:c>
      <x:c r="E43" s="14" t="str">
        <x:v>技能</x:v>
      </x:c>
      <x:c r="F43" s="14" t="str">
        <x:v>位置编排</x:v>
      </x:c>
      <x:c r="G43" s="14" t="str">
        <x:v>位置编排</x:v>
      </x:c>
      <x:c r="H43" s="14" t="str">
        <x:v>位置调整</x:v>
      </x:c>
      <x:c r="I43" s="14" t="str">
        <x:v>任意重新排列全部手牌。每形成1组相邻零件抽1张，最多3张；若最左与最右都是零件，再获得1能量。</x:v>
      </x:c>
      <x:c r="J43" s="14" t="str">
        <x:v>费用1→0</x:v>
      </x:c>
      <x:c r="K43" s="14" t="str">
        <x:v>高风险实测</x:v>
      </x:c>
      <x:c r="L43" s="14" t="str">
        <x:v>把整手牌布局直接转换为抽牌和能量，同时服务送料器、侧翼护板和装配。</x:v>
      </x:c>
      <x:c r="M43" s="14" t="str">
        <x:v>待审核</x:v>
      </x:c>
      <x:c r="N43" s="14" t="str">
        <x:v>P1</x:v>
      </x:c>
      <x:c r="O43" s="14" t="str"/>
      <x:c r="P43" s="14" t="str"/>
    </x:row>
    <x:row r="44">
      <x:c r="A44" s="14" t="n">
        <x:v>44</x:v>
      </x:c>
      <x:c r="B44" s="14" t="str">
        <x:v>生物废料</x:v>
      </x:c>
      <x:c r="C44" s="14" t="str">
        <x:v>状态</x:v>
      </x:c>
      <x:c r="D44" s="14" t="str">
        <x:v>0</x:v>
      </x:c>
      <x:c r="E44" s="14" t="str">
        <x:v>状态</x:v>
      </x:c>
      <x:c r="F44" s="14" t="str">
        <x:v>基础规则/生成牌</x:v>
      </x:c>
      <x:c r="G44" s="14" t="str">
        <x:v>生物废料</x:v>
      </x:c>
      <x:c r="H44" s="14" t="str">
        <x:v>废料处理</x:v>
      </x:c>
      <x:c r="I44" s="14" t="str">
        <x:v>无法打出；占据手牌位置。被“处理”时消耗，并在原手牌位置生成1张次级能量储罐。</x:v>
      </x:c>
      <x:c r="J44" s="14" t="str">
        <x:v>不可升级</x:v>
      </x:c>
      <x:c r="K44" s="14" t="str">
        <x:v>重点实测</x:v>
      </x:c>
      <x:c r="L44" s="14" t="str">
        <x:v>生物废料提供能量回收，因此其生成量与免费处理手段必须明显少于机械废料。</x:v>
      </x:c>
      <x:c r="M44" s="14" t="str">
        <x:v>待审核</x:v>
      </x:c>
      <x:c r="N44" s="14" t="str">
        <x:v>P2</x:v>
      </x:c>
      <x:c r="O44" s="14" t="str"/>
      <x:c r="P44" s="14" t="str"/>
    </x:row>
    <x:row r="45">
      <x:c r="A45" s="14" t="n">
        <x:v>45</x:v>
      </x:c>
      <x:c r="B45" s="14" t="str">
        <x:v>次级传送带</x:v>
      </x:c>
      <x:c r="C45" s="14" t="str">
        <x:v>状态</x:v>
      </x:c>
      <x:c r="D45" s="14" t="str">
        <x:v>0</x:v>
      </x:c>
      <x:c r="E45" s="14" t="str">
        <x:v>技能</x:v>
      </x:c>
      <x:c r="F45" s="14" t="str">
        <x:v>基础规则/生成牌</x:v>
      </x:c>
      <x:c r="G45" s="14" t="str">
        <x:v>机械废料</x:v>
      </x:c>
      <x:c r="H45" s="14" t="str">
        <x:v>装配器</x:v>
      </x:c>
      <x:c r="I45" s="14" t="str">
        <x:v>抽1张牌。消耗。虚无。不能作为零件参与装配。</x:v>
      </x:c>
      <x:c r="J45" s="14" t="str">
        <x:v>不可升级</x:v>
      </x:c>
      <x:c r="K45" s="14" t="str">
        <x:v>重点实测</x:v>
      </x:c>
      <x:c r="L45" s="14" t="str">
        <x:v>机械废料处理的收益是恢复牌组运转，单独使用不会产生净卡差。</x:v>
      </x:c>
      <x:c r="M45" s="14" t="str">
        <x:v>待审核</x:v>
      </x:c>
      <x:c r="N45" s="14" t="str">
        <x:v>P2</x:v>
      </x:c>
      <x:c r="O45" s="14" t="str"/>
      <x:c r="P45" s="14" t="str"/>
    </x:row>
    <x:row r="46">
      <x:c r="A46" s="14" t="n">
        <x:v>46</x:v>
      </x:c>
      <x:c r="B46" s="14" t="str">
        <x:v>次级能量储罐</x:v>
      </x:c>
      <x:c r="C46" s="14" t="str">
        <x:v>状态</x:v>
      </x:c>
      <x:c r="D46" s="14" t="str">
        <x:v>0</x:v>
      </x:c>
      <x:c r="E46" s="14" t="str">
        <x:v>技能</x:v>
      </x:c>
      <x:c r="F46" s="14" t="str">
        <x:v>基础规则/生成牌</x:v>
      </x:c>
      <x:c r="G46" s="14" t="str">
        <x:v>生物废料</x:v>
      </x:c>
      <x:c r="H46" s="14" t="str">
        <x:v>装配器</x:v>
      </x:c>
      <x:c r="I46" s="14" t="str">
        <x:v>获得1点能量。消耗。虚无。不能作为零件参与装配。</x:v>
      </x:c>
      <x:c r="J46" s="14" t="str">
        <x:v>不可升级</x:v>
      </x:c>
      <x:c r="K46" s="14" t="str">
        <x:v>高风险实测</x:v>
      </x:c>
      <x:c r="L46" s="14" t="str">
        <x:v>生物废料处理会用手牌资源换取能量，可能与0费装配和抽牌模块形成爆发循环。</x:v>
      </x:c>
      <x:c r="M46" s="14" t="str">
        <x:v>待审核</x:v>
      </x:c>
      <x:c r="N46" s="14" t="str">
        <x:v>P1</x:v>
      </x:c>
      <x:c r="O46" s="14" t="str"/>
      <x:c r="P46" s="14" t="str"/>
    </x:row>
    <x:row r="47">
      <x:c r="A47" s="14" t="n">
        <x:v>47</x:v>
      </x:c>
      <x:c r="B47" s="14" t="str">
        <x:v>端点回收</x:v>
      </x:c>
      <x:c r="C47" s="14" t="str">
        <x:v>普通</x:v>
      </x:c>
      <x:c r="D47" s="14" t="str">
        <x:v>0</x:v>
      </x:c>
      <x:c r="E47" s="14" t="str">
        <x:v>技能</x:v>
      </x:c>
      <x:c r="F47" s="14" t="str">
        <x:v>双废料-通用/混合</x:v>
      </x:c>
      <x:c r="G47" s="14" t="str">
        <x:v>位置编排、机械废料、生物废料</x:v>
      </x:c>
      <x:c r="H47" s="14" t="str">
        <x:v>废料处理</x:v>
      </x:c>
      <x:c r="I47" s="14" t="str">
        <x:v>若手牌最左侧为机械废料，处理它；若最右侧为生物废料，处理它。可以同时处理两张。</x:v>
      </x:c>
      <x:c r="J47" s="14" t="str">
        <x:v>改为处理手牌最左与最右的任意废料</x:v>
      </x:c>
      <x:c r="K47" s="14" t="str">
        <x:v>重点实测</x:v>
      </x:c>
      <x:c r="L47" s="14" t="str">
        <x:v>与废料分拣的任意选取不同，端点回收要求提前把两类废料布置到正确边缘。</x:v>
      </x:c>
      <x:c r="M47" s="14" t="str">
        <x:v>待审核</x:v>
      </x:c>
      <x:c r="N47" s="14" t="str">
        <x:v>P2</x:v>
      </x:c>
      <x:c r="O47" s="14" t="str"/>
      <x:c r="P47" s="14" t="str"/>
    </x:row>
    <x:row r="48">
      <x:c r="A48" s="14" t="n">
        <x:v>48</x:v>
      </x:c>
      <x:c r="B48" s="14" t="str">
        <x:v>切屑喷射</x:v>
      </x:c>
      <x:c r="C48" s="14" t="str">
        <x:v>普通</x:v>
      </x:c>
      <x:c r="D48" s="14" t="str">
        <x:v>1</x:v>
      </x:c>
      <x:c r="E48" s="14" t="str">
        <x:v>攻击</x:v>
      </x:c>
      <x:c r="F48" s="14" t="str">
        <x:v>双废料-机械</x:v>
      </x:c>
      <x:c r="G48" s="14" t="str">
        <x:v>位置编排、机械废料</x:v>
      </x:c>
      <x:c r="H48" s="14" t="str">
        <x:v>输出零件</x:v>
      </x:c>
      <x:c r="I48" s="14" t="str">
        <x:v>造成7点伤害。若右侧相邻为机械废料，处理它并额外造成4点伤害。模块：造成6点伤害。</x:v>
      </x:c>
      <x:c r="J48" s="14" t="str">
        <x:v>基础伤害7→10；额外4→5；模块6→8</x:v>
      </x:c>
      <x:c r="K48" s="14" t="str">
        <x:v>重点实测</x:v>
      </x:c>
      <x:c r="L48" s="14" t="str">
        <x:v>把机械废料放在攻击牌右侧可同时获得清废、过牌部件和额外伤害。</x:v>
      </x:c>
      <x:c r="M48" s="14" t="str">
        <x:v>待审核</x:v>
      </x:c>
      <x:c r="N48" s="14" t="str">
        <x:v>P2</x:v>
      </x:c>
      <x:c r="O48" s="14" t="str"/>
      <x:c r="P48" s="14" t="str"/>
    </x:row>
    <x:row r="49">
      <x:c r="A49" s="14" t="n">
        <x:v>49</x:v>
      </x:c>
      <x:c r="B49" s="14" t="str">
        <x:v>培养舱</x:v>
      </x:c>
      <x:c r="C49" s="14" t="str">
        <x:v>普通</x:v>
      </x:c>
      <x:c r="D49" s="14" t="str">
        <x:v>1</x:v>
      </x:c>
      <x:c r="E49" s="14" t="str">
        <x:v>技能</x:v>
      </x:c>
      <x:c r="F49" s="14" t="str">
        <x:v>双废料-生物</x:v>
      </x:c>
      <x:c r="G49" s="14" t="str">
        <x:v>生物废料</x:v>
      </x:c>
      <x:c r="H49" s="14" t="str">
        <x:v>功能/防御零件</x:v>
      </x:c>
      <x:c r="I49" s="14" t="str">
        <x:v>获得7点格挡，将1张生物废料加入弃牌堆。模块：获得6点格挡；产物使用后将1张生物废料加入弃牌堆。</x:v>
      </x:c>
      <x:c r="J49" s="14" t="str">
        <x:v>格挡7→10；模块6→8</x:v>
      </x:c>
      <x:c r="K49" s="14" t="str">
        <x:v>高风险实测</x:v>
      </x:c>
      <x:c r="L49" s="14" t="str">
        <x:v>生物废料的基础来源，同时让玩家用未来的牌库污染换取当前防御。</x:v>
      </x:c>
      <x:c r="M49" s="14" t="str">
        <x:v>待审核</x:v>
      </x:c>
      <x:c r="N49" s="14" t="str">
        <x:v>P1</x:v>
      </x:c>
      <x:c r="O49" s="14" t="str"/>
      <x:c r="P49" s="14" t="str"/>
    </x:row>
    <x:row r="50">
      <x:c r="A50" s="14" t="n">
        <x:v>50</x:v>
      </x:c>
      <x:c r="B50" s="14" t="str">
        <x:v>代谢泵</x:v>
      </x:c>
      <x:c r="C50" s="14" t="str">
        <x:v>普通</x:v>
      </x:c>
      <x:c r="D50" s="14" t="str">
        <x:v>1</x:v>
      </x:c>
      <x:c r="E50" s="14" t="str">
        <x:v>技能</x:v>
      </x:c>
      <x:c r="F50" s="14" t="str">
        <x:v>双废料-生物</x:v>
      </x:c>
      <x:c r="G50" s="14" t="str">
        <x:v>位置编排、生物废料</x:v>
      </x:c>
      <x:c r="H50" s="14" t="str">
        <x:v>功能/防御零件</x:v>
      </x:c>
      <x:c r="I50" s="14" t="str">
        <x:v>获得4点格挡。处理左右两侧各至多1张生物废料；每处理1张，再获得3点格挡。模块：获得5点格挡。</x:v>
      </x:c>
      <x:c r="J50" s="14" t="str">
        <x:v>基础格挡4→6；每张3→4；模块5→7</x:v>
      </x:c>
      <x:c r="K50" s="14" t="str">
        <x:v>重点实测</x:v>
      </x:c>
      <x:c r="L50" s="14" t="str">
        <x:v>生物废料处理牌以手牌和位置为成本，把能量回收与防御绑定。</x:v>
      </x:c>
      <x:c r="M50" s="14" t="str">
        <x:v>待审核</x:v>
      </x:c>
      <x:c r="N50" s="14" t="str">
        <x:v>P2</x:v>
      </x:c>
      <x:c r="O50" s="14" t="str"/>
      <x:c r="P50" s="14" t="str"/>
    </x:row>
    <x:row r="51">
      <x:c r="A51" s="14" t="n">
        <x:v>51</x:v>
      </x:c>
      <x:c r="B51" s="14" t="str">
        <x:v>极性分选</x:v>
      </x:c>
      <x:c r="C51" s="14" t="str">
        <x:v>普通</x:v>
      </x:c>
      <x:c r="D51" s="14" t="str">
        <x:v>0</x:v>
      </x:c>
      <x:c r="E51" s="14" t="str">
        <x:v>技能</x:v>
      </x:c>
      <x:c r="F51" s="14" t="str">
        <x:v>双废料-通用/混合</x:v>
      </x:c>
      <x:c r="G51" s="14" t="str">
        <x:v>位置编排、机械废料、生物废料</x:v>
      </x:c>
      <x:c r="H51" s="14" t="str">
        <x:v>通用功能</x:v>
      </x:c>
      <x:c r="I51" s="14" t="str">
        <x:v>选择手牌中的1张机械废料和1张生物废料，交换它们的位置。抽1张牌。</x:v>
      </x:c>
      <x:c r="J51" s="14" t="str">
        <x:v>移除消耗</x:v>
      </x:c>
      <x:c r="K51" s="14" t="str">
        <x:v>重点实测</x:v>
      </x:c>
      <x:c r="L51" s="14" t="str">
        <x:v>用于修正两种废料的左右布局、制造机生耦合器夹持或准备端点回收。</x:v>
      </x:c>
      <x:c r="M51" s="14" t="str">
        <x:v>待审核</x:v>
      </x:c>
      <x:c r="N51" s="14" t="str">
        <x:v>P2</x:v>
      </x:c>
      <x:c r="O51" s="14" t="str"/>
      <x:c r="P51" s="14" t="str"/>
    </x:row>
    <x:row r="52">
      <x:c r="A52" s="14" t="n">
        <x:v>52</x:v>
      </x:c>
      <x:c r="B52" s="14" t="str">
        <x:v>双路回收</x:v>
      </x:c>
      <x:c r="C52" s="14" t="str">
        <x:v>罕见</x:v>
      </x:c>
      <x:c r="D52" s="14" t="str">
        <x:v>1</x:v>
      </x:c>
      <x:c r="E52" s="14" t="str">
        <x:v>技能</x:v>
      </x:c>
      <x:c r="F52" s="14" t="str">
        <x:v>双废料-通用/混合</x:v>
      </x:c>
      <x:c r="G52" s="14" t="str">
        <x:v>机械废料、生物废料</x:v>
      </x:c>
      <x:c r="H52" s="14" t="str">
        <x:v>废料处理</x:v>
      </x:c>
      <x:c r="I52" s="14" t="str">
        <x:v>处理至多1张机械废料和至多1张生物废料。若两种都处理，抽1张牌。</x:v>
      </x:c>
      <x:c r="J52" s="14" t="str">
        <x:v>费用1→0</x:v>
      </x:c>
      <x:c r="K52" s="14" t="str">
        <x:v>高风险实测</x:v>
      </x:c>
      <x:c r="L52" s="14" t="str">
        <x:v>一次同时获得过牌部件与能量部件，是混合废料构筑的核心爆发牌。</x:v>
      </x:c>
      <x:c r="M52" s="14" t="str">
        <x:v>待审核</x:v>
      </x:c>
      <x:c r="N52" s="14" t="str">
        <x:v>P1</x:v>
      </x:c>
      <x:c r="O52" s="14" t="str"/>
      <x:c r="P52" s="14" t="str"/>
    </x:row>
    <x:row r="53">
      <x:c r="A53" s="14" t="n">
        <x:v>53</x:v>
      </x:c>
      <x:c r="B53" s="14" t="str">
        <x:v>机生耦合器</x:v>
      </x:c>
      <x:c r="C53" s="14" t="str">
        <x:v>罕见</x:v>
      </x:c>
      <x:c r="D53" s="14" t="str">
        <x:v>1</x:v>
      </x:c>
      <x:c r="E53" s="14" t="str">
        <x:v>技能</x:v>
      </x:c>
      <x:c r="F53" s="14" t="str">
        <x:v>双废料-通用/混合</x:v>
      </x:c>
      <x:c r="G53" s="14" t="str">
        <x:v>位置编排、机械废料、生物废料</x:v>
      </x:c>
      <x:c r="H53" s="14" t="str">
        <x:v>废料处理</x:v>
      </x:c>
      <x:c r="I53" s="14" t="str">
        <x:v>处理与本牌相邻的1张废料。若左侧和右侧恰好分别为机械废料与生物废料，则改为处理两张，并额外抽1张、获得1点能量。</x:v>
      </x:c>
      <x:c r="J53" s="14" t="str">
        <x:v>费用1→0</x:v>
      </x:c>
      <x:c r="K53" s="14" t="str">
        <x:v>高风险实测</x:v>
      </x:c>
      <x:c r="L53" s="14" t="str">
        <x:v>要求把两种废料夹在本牌两侧，以位置成本换取完整双路收益。</x:v>
      </x:c>
      <x:c r="M53" s="14" t="str">
        <x:v>待审核</x:v>
      </x:c>
      <x:c r="N53" s="14" t="str">
        <x:v>P1</x:v>
      </x:c>
      <x:c r="O53" s="14" t="str"/>
      <x:c r="P53" s="14" t="str"/>
    </x:row>
    <x:row r="54">
      <x:c r="A54" s="14" t="n">
        <x:v>54</x:v>
      </x:c>
      <x:c r="B54" s="14" t="str">
        <x:v>远程回收</x:v>
      </x:c>
      <x:c r="C54" s="14" t="str">
        <x:v>罕见</x:v>
      </x:c>
      <x:c r="D54" s="14" t="str">
        <x:v>1</x:v>
      </x:c>
      <x:c r="E54" s="14" t="str">
        <x:v>技能</x:v>
      </x:c>
      <x:c r="F54" s="14" t="str">
        <x:v>双废料-通用/混合</x:v>
      </x:c>
      <x:c r="G54" s="14" t="str">
        <x:v>机械废料、生物废料、弃牌堆</x:v>
      </x:c>
      <x:c r="H54" s="14" t="str">
        <x:v>废料处理</x:v>
      </x:c>
      <x:c r="I54" s="14" t="str">
        <x:v>从弃牌堆处理至多2张废料。机械废料生成的次级传送带加入手牌最左侧；生物废料生成的次级能量储罐加入手牌最右侧。</x:v>
      </x:c>
      <x:c r="J54" s="14" t="str">
        <x:v>至多2→3张</x:v>
      </x:c>
      <x:c r="K54" s="14" t="str">
        <x:v>重点实测</x:v>
      </x:c>
      <x:c r="L54" s="14" t="str">
        <x:v>把已经污染弃牌堆的废料转化为当前回合资源，并明确安排两种次级产物的位置。</x:v>
      </x:c>
      <x:c r="M54" s="14" t="str">
        <x:v>待审核</x:v>
      </x:c>
      <x:c r="N54" s="14" t="str">
        <x:v>P2</x:v>
      </x:c>
      <x:c r="O54" s="14" t="str"/>
      <x:c r="P54" s="14" t="str"/>
    </x:row>
    <x:row r="55">
      <x:c r="A55" s="14" t="n">
        <x:v>55</x:v>
      </x:c>
      <x:c r="B55" s="14" t="str">
        <x:v>分类协议</x:v>
      </x:c>
      <x:c r="C55" s="14" t="str">
        <x:v>罕见</x:v>
      </x:c>
      <x:c r="D55" s="14" t="str">
        <x:v>2</x:v>
      </x:c>
      <x:c r="E55" s="14" t="str">
        <x:v>能力</x:v>
      </x:c>
      <x:c r="F55" s="14" t="str">
        <x:v>双废料-通用/混合</x:v>
      </x:c>
      <x:c r="G55" s="14" t="str">
        <x:v>机械废料、生物废料</x:v>
      </x:c>
      <x:c r="H55" s="14" t="str">
        <x:v>能力核心</x:v>
      </x:c>
      <x:c r="I55" s="14" t="str">
        <x:v>每回合第一次处理机械废料时，该次生成的次级传送带改为抽2张；第一次处理生物废料时，该次生成的次级能量储罐改为获得2点能量。</x:v>
      </x:c>
      <x:c r="J55" s="14" t="str">
        <x:v>费用2→1</x:v>
      </x:c>
      <x:c r="K55" s="14" t="str">
        <x:v>高风险实测</x:v>
      </x:c>
      <x:c r="L55" s="14" t="str">
        <x:v>让两类废料分别形成过牌爆发和能量爆发，但每回合各只强化一次。</x:v>
      </x:c>
      <x:c r="M55" s="14" t="str">
        <x:v>待审核</x:v>
      </x:c>
      <x:c r="N55" s="14" t="str">
        <x:v>P1</x:v>
      </x:c>
      <x:c r="O55" s="14" t="str"/>
      <x:c r="P55" s="14" t="str"/>
    </x:row>
    <x:row r="56">
      <x:c r="A56" s="14" t="n">
        <x:v>56</x:v>
      </x:c>
      <x:c r="B56" s="14" t="str">
        <x:v>就地回收</x:v>
      </x:c>
      <x:c r="C56" s="14" t="str">
        <x:v>罕见</x:v>
      </x:c>
      <x:c r="D56" s="14" t="str">
        <x:v>1</x:v>
      </x:c>
      <x:c r="E56" s="14" t="str">
        <x:v>技能</x:v>
      </x:c>
      <x:c r="F56" s="14" t="str">
        <x:v>双废料-通用/混合</x:v>
      </x:c>
      <x:c r="G56" s="14" t="str">
        <x:v>位置编排、维修/故障、机械废料、生物废料</x:v>
      </x:c>
      <x:c r="H56" s="14" t="str">
        <x:v>维修</x:v>
      </x:c>
      <x:c r="I56" s="14" t="str">
        <x:v>选择手牌中的1个产物。处理其左右两侧各至多1张任意废料；每处理1张，维修该产物1点耐久。</x:v>
      </x:c>
      <x:c r="J56" s="14" t="str">
        <x:v>处理后令该产物本回合费用降低1</x:v>
      </x:c>
      <x:c r="K56" s="14" t="str">
        <x:v>重点实测</x:v>
      </x:c>
      <x:c r="L56" s="14" t="str">
        <x:v>把产物放在废料之间可同时完成清废和维修，让产物在手牌中的位置产生价值。</x:v>
      </x:c>
      <x:c r="M56" s="14" t="str">
        <x:v>待审核</x:v>
      </x:c>
      <x:c r="N56" s="14" t="str">
        <x:v>P2</x:v>
      </x:c>
      <x:c r="O56" s="14" t="str"/>
      <x:c r="P56" s="14" t="str"/>
    </x:row>
    <x:row r="57">
      <x:c r="A57" s="14" t="n">
        <x:v>57</x:v>
      </x:c>
      <x:c r="B57" s="14" t="str">
        <x:v>零废弃工厂</x:v>
      </x:c>
      <x:c r="C57" s="14" t="str">
        <x:v>稀有</x:v>
      </x:c>
      <x:c r="D57" s="14" t="str">
        <x:v>2</x:v>
      </x:c>
      <x:c r="E57" s="14" t="str">
        <x:v>能力</x:v>
      </x:c>
      <x:c r="F57" s="14" t="str">
        <x:v>双废料-通用/混合</x:v>
      </x:c>
      <x:c r="G57" s="14" t="str">
        <x:v>位置编排、机械废料、生物废料</x:v>
      </x:c>
      <x:c r="H57" s="14" t="str">
        <x:v>能力核心</x:v>
      </x:c>
      <x:c r="I57" s="14" t="str">
        <x:v>每回合第一次装配后，若新产物左侧相邻为机械废料则处理它；若右侧相邻为生物废料则处理它。</x:v>
      </x:c>
      <x:c r="J57" s="14" t="str">
        <x:v>改为处理新产物左右两侧的任意废料，不再限制类型</x:v>
      </x:c>
      <x:c r="K57" s="14" t="str">
        <x:v>高风险实测</x:v>
      </x:c>
      <x:c r="L57" s="14" t="str">
        <x:v>玩家可以在装配前布置废料，使产物落点自动启动两种回收线。</x:v>
      </x:c>
      <x:c r="M57" s="14" t="str">
        <x:v>待审核</x:v>
      </x:c>
      <x:c r="N57" s="14" t="str">
        <x:v>P1</x:v>
      </x:c>
      <x:c r="O57" s="14" t="str"/>
      <x:c r="P57" s="14" t="str"/>
    </x:row>
    <x:row r="58">
      <x:c r="A58" s="14" t="n">
        <x:v>58</x:v>
      </x:c>
      <x:c r="B58" s="14" t="str">
        <x:v>异质增殖</x:v>
      </x:c>
      <x:c r="C58" s="14" t="str">
        <x:v>稀有</x:v>
      </x:c>
      <x:c r="D58" s="14" t="str">
        <x:v>2</x:v>
      </x:c>
      <x:c r="E58" s="14" t="str">
        <x:v>能力</x:v>
      </x:c>
      <x:c r="F58" s="14" t="str">
        <x:v>双废料-通用/混合</x:v>
      </x:c>
      <x:c r="G58" s="14" t="str">
        <x:v>机械废料、生物废料</x:v>
      </x:c>
      <x:c r="H58" s="14" t="str">
        <x:v>能力核心</x:v>
      </x:c>
      <x:c r="I58" s="14" t="str">
        <x:v>每回合第一次同时满足“本回合已处理机械废料”和“本回合已处理生物废料”时，获得1层产能。每层产能使产物的伤害与格挡输出模块数值+1。</x:v>
      </x:c>
      <x:c r="J58" s="14" t="str">
        <x:v>费用2→1；触发时再抽1张牌</x:v>
      </x:c>
      <x:c r="K58" s="14" t="str">
        <x:v>高风险实测</x:v>
      </x:c>
      <x:c r="L58" s="14" t="str">
        <x:v>为混合废料构筑提供长期成长，避免废料路线只有清理和资源转换而缺少终结能力。</x:v>
      </x:c>
      <x:c r="M58" s="14" t="str">
        <x:v>待审核</x:v>
      </x:c>
      <x:c r="N58" s="14" t="str">
        <x:v>P1</x:v>
      </x:c>
      <x:c r="O58" s="14" t="str"/>
      <x:c r="P58" s="14" t="str"/>
    </x:row>
    <x:row r="59">
      <x:c r="A59" s="14" t="n">
        <x:v>59</x:v>
      </x:c>
      <x:c r="B59" s="14" t="str">
        <x:v>顶仓检视</x:v>
      </x:c>
      <x:c r="C59" s="14" t="str">
        <x:v>普通</x:v>
      </x:c>
      <x:c r="D59" s="14" t="str">
        <x:v>0</x:v>
      </x:c>
      <x:c r="E59" s="14" t="str">
        <x:v>技能</x:v>
      </x:c>
      <x:c r="F59" s="14" t="str">
        <x:v>抽牌堆-预排产</x:v>
      </x:c>
      <x:c r="G59" s="14" t="str">
        <x:v>位置编排、抽牌堆</x:v>
      </x:c>
      <x:c r="H59" s="14" t="str">
        <x:v>功能/防御零件</x:v>
      </x:c>
      <x:c r="I59" s="14" t="str">
        <x:v>查看抽牌堆顶3张牌。可以选择其中1张零件加入手牌最左侧；其余牌保持原顺序放回。</x:v>
      </x:c>
      <x:c r="J59" s="14" t="str">
        <x:v>查看3→5张；选择的零件可放到手牌最左或最右</x:v>
      </x:c>
      <x:c r="K59" s="14" t="str">
        <x:v>重点实测</x:v>
      </x:c>
      <x:c r="L59" s="14" t="str">
        <x:v>有限范围的零件检索，同时通过落入手牌左端为增压器、联轴器等前置组件准备位置。</x:v>
      </x:c>
      <x:c r="M59" s="14" t="str">
        <x:v>待审核</x:v>
      </x:c>
      <x:c r="N59" s="14" t="str">
        <x:v>P2</x:v>
      </x:c>
      <x:c r="O59" s="14" t="str"/>
      <x:c r="P59" s="14" t="str"/>
    </x:row>
    <x:row r="60">
      <x:c r="A60" s="14" t="n">
        <x:v>60</x:v>
      </x:c>
      <x:c r="B60" s="14" t="str">
        <x:v>底仓吊运</x:v>
      </x:c>
      <x:c r="C60" s="14" t="str">
        <x:v>普通</x:v>
      </x:c>
      <x:c r="D60" s="14" t="str">
        <x:v>1</x:v>
      </x:c>
      <x:c r="E60" s="14" t="str">
        <x:v>技能</x:v>
      </x:c>
      <x:c r="F60" s="14" t="str">
        <x:v>抽牌堆-预排产</x:v>
      </x:c>
      <x:c r="G60" s="14" t="str">
        <x:v>位置编排、抽牌堆</x:v>
      </x:c>
      <x:c r="H60" s="14" t="str">
        <x:v>位置调整</x:v>
      </x:c>
      <x:c r="I60" s="14" t="str">
        <x:v>将抽牌堆最底部的牌加入手牌最右侧。若其为零件，本回合费用降低1。</x:v>
      </x:c>
      <x:c r="J60" s="14" t="str">
        <x:v>费用1→0</x:v>
      </x:c>
      <x:c r="K60" s="14" t="str">
        <x:v>重点实测</x:v>
      </x:c>
      <x:c r="L60" s="14" t="str">
        <x:v>让牌堆底部成为可规划资源，并天然服务手牌右端、末模块及补料指令。</x:v>
      </x:c>
      <x:c r="M60" s="14" t="str">
        <x:v>待审核</x:v>
      </x:c>
      <x:c r="N60" s="14" t="str">
        <x:v>P2</x:v>
      </x:c>
      <x:c r="O60" s="14" t="str"/>
      <x:c r="P60" s="14" t="str"/>
    </x:row>
    <x:row r="61">
      <x:c r="A61" s="14" t="n">
        <x:v>61</x:v>
      </x:c>
      <x:c r="B61" s="14" t="str">
        <x:v>顶层预装</x:v>
      </x:c>
      <x:c r="C61" s="14" t="str">
        <x:v>罕见</x:v>
      </x:c>
      <x:c r="D61" s="14" t="str">
        <x:v>1</x:v>
      </x:c>
      <x:c r="E61" s="14" t="str">
        <x:v>技能</x:v>
      </x:c>
      <x:c r="F61" s="14" t="str">
        <x:v>抽牌堆-预排产</x:v>
      </x:c>
      <x:c r="G61" s="14" t="str">
        <x:v>装配/产物、抽牌堆</x:v>
      </x:c>
      <x:c r="H61" s="14" t="str">
        <x:v>装配器</x:v>
      </x:c>
      <x:c r="I61" s="14" t="str">
        <x:v>若抽牌堆顶2张牌均为零件，按从顶到底的顺序直接装配。生成1费2耐久产物并放入手牌最左侧；产生1张机械废料。</x:v>
      </x:c>
      <x:c r="J61" s="14" t="str">
        <x:v>改为查看抽牌堆顶3张，从中选择相邻的2张零件按原顺序装配</x:v>
      </x:c>
      <x:c r="K61" s="14" t="str">
        <x:v>高风险实测</x:v>
      </x:c>
      <x:c r="L61" s="14" t="str">
        <x:v>将抽牌堆顺序直接转化为产品，顶仓检视、二次投料等卡牌可提前排布零件。</x:v>
      </x:c>
      <x:c r="M61" s="14" t="str">
        <x:v>待审核</x:v>
      </x:c>
      <x:c r="N61" s="14" t="str">
        <x:v>P1</x:v>
      </x:c>
      <x:c r="O61" s="14" t="str"/>
      <x:c r="P61" s="14" t="str"/>
    </x:row>
    <x:row r="62">
      <x:c r="A62" s="14" t="n">
        <x:v>62</x:v>
      </x:c>
      <x:c r="B62" s="14" t="str">
        <x:v>先入先出</x:v>
      </x:c>
      <x:c r="C62" s="14" t="str">
        <x:v>稀有</x:v>
      </x:c>
      <x:c r="D62" s="14" t="str">
        <x:v>2</x:v>
      </x:c>
      <x:c r="E62" s="14" t="str">
        <x:v>能力</x:v>
      </x:c>
      <x:c r="F62" s="14" t="str">
        <x:v>抽牌堆-预排产</x:v>
      </x:c>
      <x:c r="G62" s="14" t="str">
        <x:v>位置编排、抽牌堆</x:v>
      </x:c>
      <x:c r="H62" s="14" t="str">
        <x:v>能力核心</x:v>
      </x:c>
      <x:c r="I62" s="14" t="str">
        <x:v>每回合抽到的第1张零件移动到手牌最左侧，第2张零件移动到手牌最右侧。第2张零件完成定位后，抽1张牌。</x:v>
      </x:c>
      <x:c r="J62" s="14" t="str">
        <x:v>费用2→1</x:v>
      </x:c>
      <x:c r="K62" s="14" t="str">
        <x:v>高风险实测</x:v>
      </x:c>
      <x:c r="L62" s="14" t="str">
        <x:v>把抽牌顺序自动转换为手牌双端布局，并在成功获得两张零件时补偿运转。</x:v>
      </x:c>
      <x:c r="M62" s="14" t="str">
        <x:v>待审核</x:v>
      </x:c>
      <x:c r="N62" s="14" t="str">
        <x:v>P1</x:v>
      </x:c>
      <x:c r="O62" s="14" t="str"/>
      <x:c r="P62" s="14" t="str"/>
    </x:row>
    <x:row r="63">
      <x:c r="A63" s="14" t="n">
        <x:v>63</x:v>
      </x:c>
      <x:c r="B63" s="14" t="str">
        <x:v>返工取件</x:v>
      </x:c>
      <x:c r="C63" s="14" t="str">
        <x:v>普通</x:v>
      </x:c>
      <x:c r="D63" s="14" t="str">
        <x:v>1</x:v>
      </x:c>
      <x:c r="E63" s="14" t="str">
        <x:v>技能</x:v>
      </x:c>
      <x:c r="F63" s="14" t="str">
        <x:v>弃牌堆-返工</x:v>
      </x:c>
      <x:c r="G63" s="14" t="str">
        <x:v>位置编排、弃牌堆</x:v>
      </x:c>
      <x:c r="H63" s="14" t="str">
        <x:v>功能/防御零件</x:v>
      </x:c>
      <x:c r="I63" s="14" t="str">
        <x:v>将弃牌堆中最近进入的1张零件加入手牌。攻击零件放到最左侧，技能零件放到最右侧。</x:v>
      </x:c>
      <x:c r="J63" s="14" t="str">
        <x:v>费用1→0</x:v>
      </x:c>
      <x:c r="K63" s="14" t="str">
        <x:v>重点实测</x:v>
      </x:c>
      <x:c r="L63" s="14" t="str">
        <x:v>使最近打出或弃置的零件可快速返工，并根据牌型自动回到适合前置或末端的位置。</x:v>
      </x:c>
      <x:c r="M63" s="14" t="str">
        <x:v>待审核</x:v>
      </x:c>
      <x:c r="N63" s="14" t="str">
        <x:v>P2</x:v>
      </x:c>
      <x:c r="O63" s="14" t="str"/>
      <x:c r="P63" s="14" t="str"/>
    </x:row>
    <x:row r="64">
      <x:c r="A64" s="14" t="n">
        <x:v>64</x:v>
      </x:c>
      <x:c r="B64" s="14" t="str">
        <x:v>返工抽检</x:v>
      </x:c>
      <x:c r="C64" s="14" t="str">
        <x:v>罕见</x:v>
      </x:c>
      <x:c r="D64" s="14" t="str">
        <x:v>1</x:v>
      </x:c>
      <x:c r="E64" s="14" t="str">
        <x:v>技能</x:v>
      </x:c>
      <x:c r="F64" s="14" t="str">
        <x:v>弃牌堆-返工</x:v>
      </x:c>
      <x:c r="G64" s="14" t="str">
        <x:v>位置编排、弃牌堆</x:v>
      </x:c>
      <x:c r="H64" s="14" t="str">
        <x:v>牌堆操作</x:v>
      </x:c>
      <x:c r="I64" s="14" t="str">
        <x:v>查看弃牌堆最上方3张牌。选择其中1张零件加入手牌；若选择的是最上方那张，其本回合费用变为0。</x:v>
      </x:c>
      <x:c r="J64" s="14" t="str">
        <x:v>查看3→5张</x:v>
      </x:c>
      <x:c r="K64" s="14" t="str">
        <x:v>重点实测</x:v>
      </x:c>
      <x:c r="L64" s="14" t="str">
        <x:v>比返工取件提供更高选择权，但只有最近的零件能获得免费返工奖励。</x:v>
      </x:c>
      <x:c r="M64" s="14" t="str">
        <x:v>待审核</x:v>
      </x:c>
      <x:c r="N64" s="14" t="str">
        <x:v>P2</x:v>
      </x:c>
      <x:c r="O64" s="14" t="str"/>
      <x:c r="P64" s="14" t="str"/>
    </x:row>
    <x:row r="65">
      <x:c r="A65" s="14" t="n">
        <x:v>65</x:v>
      </x:c>
      <x:c r="B65" s="14" t="str">
        <x:v>逆流换仓</x:v>
      </x:c>
      <x:c r="C65" s="14" t="str">
        <x:v>罕见</x:v>
      </x:c>
      <x:c r="D65" s="14" t="str">
        <x:v>0</x:v>
      </x:c>
      <x:c r="E65" s="14" t="str">
        <x:v>技能</x:v>
      </x:c>
      <x:c r="F65" s="14" t="str">
        <x:v>弃牌堆-返工</x:v>
      </x:c>
      <x:c r="G65" s="14" t="str">
        <x:v>位置编排、抽牌堆、弃牌堆</x:v>
      </x:c>
      <x:c r="H65" s="14" t="str">
        <x:v>牌堆操作</x:v>
      </x:c>
      <x:c r="I65" s="14" t="str">
        <x:v>交换抽牌堆顶牌与弃牌堆顶牌，然后抽1张牌。若抽到零件，可以将其移动到手牌最左或最右。</x:v>
      </x:c>
      <x:c r="J65" s="14" t="str">
        <x:v>移除消耗</x:v>
      </x:c>
      <x:c r="K65" s="14" t="str">
        <x:v>重点实测</x:v>
      </x:c>
      <x:c r="L65" s="14" t="str">
        <x:v>把最近弃置的牌送入下一次抽取，同时把当前顶牌暂存到弃牌堆，兼具排产与返工。</x:v>
      </x:c>
      <x:c r="M65" s="14" t="str">
        <x:v>待审核</x:v>
      </x:c>
      <x:c r="N65" s="14" t="str">
        <x:v>P2</x:v>
      </x:c>
      <x:c r="O65" s="14" t="str"/>
      <x:c r="P65" s="14" t="str"/>
    </x:row>
    <x:row r="66">
      <x:c r="A66" s="14" t="n">
        <x:v>66</x:v>
      </x:c>
      <x:c r="B66" s="14" t="str">
        <x:v>返工总线</x:v>
      </x:c>
      <x:c r="C66" s="14" t="str">
        <x:v>稀有</x:v>
      </x:c>
      <x:c r="D66" s="14" t="str">
        <x:v>2</x:v>
      </x:c>
      <x:c r="E66" s="14" t="str">
        <x:v>能力</x:v>
      </x:c>
      <x:c r="F66" s="14" t="str">
        <x:v>弃牌堆-返工</x:v>
      </x:c>
      <x:c r="G66" s="14" t="str">
        <x:v>弃牌堆</x:v>
      </x:c>
      <x:c r="H66" s="14" t="str">
        <x:v>能力核心</x:v>
      </x:c>
      <x:c r="I66" s="14" t="str">
        <x:v>每回合第一次将零件从弃牌堆加入手牌时，抽1张牌，并使该零件本回合费用降低1。</x:v>
      </x:c>
      <x:c r="J66" s="14" t="str">
        <x:v>费用2→1</x:v>
      </x:c>
      <x:c r="K66" s="14" t="str">
        <x:v>高风险实测</x:v>
      </x:c>
      <x:c r="L66" s="14" t="str">
        <x:v>使返工取件、返工抽检等牌形成稳定运转核心，但每回合只强化一次。</x:v>
      </x:c>
      <x:c r="M66" s="14" t="str">
        <x:v>待审核</x:v>
      </x:c>
      <x:c r="N66" s="14" t="str">
        <x:v>P1</x:v>
      </x:c>
      <x:c r="O66" s="14" t="str"/>
      <x:c r="P66" s="14" t="str"/>
    </x:row>
    <x:row r="67">
      <x:c r="A67" s="14" t="n">
        <x:v>67</x:v>
      </x:c>
      <x:c r="B67" s="14" t="str">
        <x:v>封存样件</x:v>
      </x:c>
      <x:c r="C67" s="14" t="str">
        <x:v>普通</x:v>
      </x:c>
      <x:c r="D67" s="14" t="str">
        <x:v>0</x:v>
      </x:c>
      <x:c r="E67" s="14" t="str">
        <x:v>技能</x:v>
      </x:c>
      <x:c r="F67" s="14" t="str">
        <x:v>消耗堆-蓝图</x:v>
      </x:c>
      <x:c r="G67" s="14" t="str">
        <x:v>位置编排、消耗堆</x:v>
      </x:c>
      <x:c r="H67" s="14" t="str">
        <x:v>功能/防御零件</x:v>
      </x:c>
      <x:c r="I67" s="14" t="str">
        <x:v>选择位于手牌最左或最右的1张零件，将其消耗，然后抽2张牌。</x:v>
      </x:c>
      <x:c r="J67" s="14" t="str">
        <x:v>可以选择手牌任意位置的零件</x:v>
      </x:c>
      <x:c r="K67" s="14" t="str">
        <x:v>重点实测</x:v>
      </x:c>
      <x:c r="L67" s="14" t="str">
        <x:v>主动把暂时不需要的边缘零件转化为运转，并为蓝图路线建立消耗堆资源。</x:v>
      </x:c>
      <x:c r="M67" s="14" t="str">
        <x:v>待审核</x:v>
      </x:c>
      <x:c r="N67" s="14" t="str">
        <x:v>P2</x:v>
      </x:c>
      <x:c r="O67" s="14" t="str"/>
      <x:c r="P67" s="14" t="str"/>
    </x:row>
    <x:row r="68">
      <x:c r="A68" s="14" t="n">
        <x:v>68</x:v>
      </x:c>
      <x:c r="B68" s="14" t="str">
        <x:v>蓝图调用</x:v>
      </x:c>
      <x:c r="C68" s="14" t="str">
        <x:v>罕见</x:v>
      </x:c>
      <x:c r="D68" s="14" t="str">
        <x:v>1</x:v>
      </x:c>
      <x:c r="E68" s="14" t="str">
        <x:v>技能</x:v>
      </x:c>
      <x:c r="F68" s="14" t="str">
        <x:v>消耗堆-蓝图</x:v>
      </x:c>
      <x:c r="G68" s="14" t="str">
        <x:v>位置编排、消耗堆</x:v>
      </x:c>
      <x:c r="H68" s="14" t="str">
        <x:v>装配器</x:v>
      </x:c>
      <x:c r="I68" s="14" t="str">
        <x:v>选择消耗堆中的1张零件。本回合下一次装配时，将其模块复制到产物末端；该产物最大耐久降低1。</x:v>
      </x:c>
      <x:c r="J68" s="14" t="str">
        <x:v>可以选择将蓝图模块复制到产物首端或末端</x:v>
      </x:c>
      <x:c r="K68" s="14" t="str">
        <x:v>高风险实测</x:v>
      </x:c>
      <x:c r="L68" s="14" t="str">
        <x:v>让消耗堆成为不占用手牌的额外模块来源，升级后首尾位置选择可改变前置、输出和后置关系。</x:v>
      </x:c>
      <x:c r="M68" s="14" t="str">
        <x:v>待审核</x:v>
      </x:c>
      <x:c r="N68" s="14" t="str">
        <x:v>P1</x:v>
      </x:c>
      <x:c r="O68" s="14" t="str"/>
      <x:c r="P68" s="14" t="str"/>
    </x:row>
    <x:row r="69">
      <x:c r="A69" s="14" t="n">
        <x:v>69</x:v>
      </x:c>
      <x:c r="B69" s="14" t="str">
        <x:v>旧版复刻</x:v>
      </x:c>
      <x:c r="C69" s="14" t="str">
        <x:v>罕见</x:v>
      </x:c>
      <x:c r="D69" s="14" t="str">
        <x:v>1</x:v>
      </x:c>
      <x:c r="E69" s="14" t="str">
        <x:v>技能</x:v>
      </x:c>
      <x:c r="F69" s="14" t="str">
        <x:v>消耗堆-蓝图</x:v>
      </x:c>
      <x:c r="G69" s="14" t="str">
        <x:v>位置编排、消耗堆</x:v>
      </x:c>
      <x:c r="H69" s="14" t="str">
        <x:v>功能/防御零件</x:v>
      </x:c>
      <x:c r="I69" s="14" t="str">
        <x:v>选择消耗堆中的1张零件，将其临时复制品加入手牌最右侧。复制品本回合费用为0，并获得虚无与消耗。</x:v>
      </x:c>
      <x:c r="J69" s="14" t="str">
        <x:v>复制品可选择加入手牌最左或最右</x:v>
      </x:c>
      <x:c r="K69" s="14" t="str">
        <x:v>高风险实测</x:v>
      </x:c>
      <x:c r="L69" s="14" t="str">
        <x:v>提供一次性的旧零件返场，既可直接使用，也可通过正确端点再次进入生产线。</x:v>
      </x:c>
      <x:c r="M69" s="14" t="str">
        <x:v>待审核</x:v>
      </x:c>
      <x:c r="N69" s="14" t="str">
        <x:v>P1</x:v>
      </x:c>
      <x:c r="O69" s="14" t="str"/>
      <x:c r="P69" s="14" t="str"/>
    </x:row>
    <x:row r="70">
      <x:c r="A70" s="14" t="n">
        <x:v>70</x:v>
      </x:c>
      <x:c r="B70" s="14" t="str">
        <x:v>蓝图库</x:v>
      </x:c>
      <x:c r="C70" s="14" t="str">
        <x:v>稀有</x:v>
      </x:c>
      <x:c r="D70" s="14" t="str">
        <x:v>2</x:v>
      </x:c>
      <x:c r="E70" s="14" t="str">
        <x:v>能力</x:v>
      </x:c>
      <x:c r="F70" s="14" t="str">
        <x:v>消耗堆-蓝图</x:v>
      </x:c>
      <x:c r="G70" s="14" t="str">
        <x:v>消耗堆</x:v>
      </x:c>
      <x:c r="H70" s="14" t="str">
        <x:v>能力核心</x:v>
      </x:c>
      <x:c r="I70" s="14" t="str">
        <x:v>每回合第一次装配时，若消耗堆中存在零件，将最近被消耗的零件模块复制到产物末端；该产物最大耐久降低1。</x:v>
      </x:c>
      <x:c r="J70" s="14" t="str">
        <x:v>费用2→1</x:v>
      </x:c>
      <x:c r="K70" s="14" t="str">
        <x:v>高风险实测</x:v>
      </x:c>
      <x:c r="L70" s="14" t="str">
        <x:v>让封存顺序决定每回合自动追加的模块，把消耗堆变为持续的蓝图仓库。</x:v>
      </x:c>
      <x:c r="M70" s="14" t="str">
        <x:v>待审核</x:v>
      </x:c>
      <x:c r="N70" s="14" t="str">
        <x:v>P1</x:v>
      </x:c>
      <x:c r="O70" s="14" t="str"/>
      <x:c r="P70" s="14" t="str"/>
    </x:row>
  </x:sheetData>
  <x:conditionalFormatting sqref="M2:M100">
    <x:cfRule type="expression" dxfId="12" priority="1">
      <x:formula>$M2="保留"</x:formula>
    </x:cfRule>
    <x:cfRule type="expression" dxfId="13" priority="2">
      <x:formula>$M2="修改"</x:formula>
    </x:cfRule>
    <x:cfRule type="expression" dxfId="14" priority="3">
      <x:formula>$M2="合并"</x:formula>
    </x:cfRule>
    <x:cfRule type="expression" dxfId="15" priority="4">
      <x:formula>$M2="删除"</x:formula>
    </x:cfRule>
  </x:conditionalFormatting>
  <x:conditionalFormatting sqref="K2:K100">
    <x:cfRule type="expression" dxfId="16" priority="5">
      <x:formula>OR(ISNUMBER(SEARCH("高风险",K2)),K2="阻塞实现")</x:formula>
    </x:cfRule>
  </x:conditionalFormatting>
  <x:dataValidations count="2">
    <x:dataValidation type="list" sqref="M2:M100">
      <x:formula1>"待审核,保留,修改,合并,删除"</x:formula1>
    </x:dataValidation>
    <x:dataValidation type="list" sqref="N2:N10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557e4657ce4ce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28" hidden="0" customWidth="1"/>
    <x:col min="6" max="6" width="32" hidden="0" customWidth="1"/>
    <x:col min="7" max="7" width="24" hidden="0" customWidth="1"/>
    <x:col min="8" max="8" width="12" hidden="0" customWidth="1"/>
  </x:cols>
  <x:sheetData>
    <x:row r="1">
      <x:c r="A1" s="159" t="str">
        <x:v>系统依赖、完整度与审核结论</x:v>
      </x:c>
      <x:c r="B1" s="159"/>
      <x:c r="C1" s="159"/>
      <x:c r="D1" s="159"/>
      <x:c r="E1" s="159"/>
      <x:c r="F1" s="159"/>
      <x:c r="G1" s="159"/>
      <x:c r="H1" s="159"/>
    </x:row>
    <x:row r="3">
      <x:c r="A3" s="164" t="str">
        <x:v>系统</x:v>
      </x:c>
      <x:c r="B3" s="164" t="str">
        <x:v>入口/生成器</x:v>
      </x:c>
      <x:c r="C3" s="164" t="str">
        <x:v>运转/转换</x:v>
      </x:c>
      <x:c r="D3" s="164" t="str">
        <x:v>收益/终结</x:v>
      </x:c>
      <x:c r="E3" s="164" t="str">
        <x:v>依赖其他系统</x:v>
      </x:c>
      <x:c r="F3" s="164" t="str">
        <x:v>当前缺口</x:v>
      </x:c>
      <x:c r="G3" s="164" t="str">
        <x:v>建议规模</x:v>
      </x:c>
      <x:c r="H3" s="164" t="str">
        <x:v>审核优先级</x:v>
      </x:c>
    </x:row>
    <x:row r="4">
      <x:c r="A4" s="14" t="str">
        <x:v>装配产物</x:v>
      </x:c>
      <x:c r="B4" s="14" t="str">
        <x:v>基础装配、快速/三联/精密/顶层预装</x:v>
      </x:c>
      <x:c r="C4" s="14" t="str">
        <x:v>送料器、补料指令、全自动生产</x:v>
      </x:c>
      <x:c r="D4" s="14" t="str">
        <x:v>工业奇迹、联锁工位</x:v>
      </x:c>
      <x:c r="E4" s="14" t="str">
        <x:v>位置、废料、维修</x:v>
      </x:c>
      <x:c r="F4" s="14" t="str">
        <x:v>产物结算规则仍阻塞实现</x:v>
      </x:c>
      <x:c r="G4" s="14" t="str">
        <x:v>5至7张装配牌+少量能力</x:v>
      </x:c>
      <x:c r="H4" s="14" t="str">
        <x:v>P0</x:v>
      </x:c>
    </x:row>
    <x:row r="5">
      <x:c r="A5" s="14" t="str">
        <x:v>位置编排</x:v>
      </x:c>
      <x:c r="B5" s="14" t="str">
        <x:v>机械臂、传送带、临时缓存</x:v>
      </x:c>
      <x:c r="C5" s="14" t="str">
        <x:v>逆向传送、工序复核、整线重排</x:v>
      </x:c>
      <x:c r="D5" s="14" t="str">
        <x:v>增压器、联轴器、强化框架、批次标签</x:v>
      </x:c>
      <x:c r="E5" s="14" t="str">
        <x:v>几乎所有体系</x:v>
      </x:c>
      <x:c r="F5" s="14" t="str">
        <x:v>中间位置收益仅2张；排序牌偏多</x:v>
      </x:c>
      <x:c r="G5" s="14" t="str">
        <x:v>普通/罕见各3至4张代表牌</x:v>
      </x:c>
      <x:c r="H5" s="14" t="str">
        <x:v>P1</x:v>
      </x:c>
    </x:row>
    <x:row r="6">
      <x:c r="A6" s="14" t="str">
        <x:v>维修故障</x:v>
      </x:c>
      <x:c r="B6" s="14" t="str">
        <x:v>产物耐久、应急维护</x:v>
      </x:c>
      <x:c r="C6" s="14" t="str">
        <x:v>简易维修、临时补丁、就地回收</x:v>
      </x:c>
      <x:c r="D6" s="14" t="str">
        <x:v>预防性维护、自修复核心、模块回流</x:v>
      </x:c>
      <x:c r="E6" s="14" t="str">
        <x:v>装配产物、废料</x:v>
      </x:c>
      <x:c r="F6" s="14" t="str">
        <x:v>维修入口太多，需删减同质牌</x:v>
      </x:c>
      <x:c r="G6" s="14" t="str">
        <x:v>基础1张+普通1张+罕见2张+稀有2张</x:v>
      </x:c>
      <x:c r="H6" s="14" t="str">
        <x:v>P1</x:v>
      </x:c>
    </x:row>
    <x:row r="7">
      <x:c r="A7" s="14" t="str">
        <x:v>机械废料</x:v>
      </x:c>
      <x:c r="B7" s="14" t="str">
        <x:v>所有标准装配</x:v>
      </x:c>
      <x:c r="C7" s="14" t="str">
        <x:v>废料分拣、端点回收、切屑喷射、远程回收</x:v>
      </x:c>
      <x:c r="D7" s="14" t="str">
        <x:v>分类协议、零废弃工厂</x:v>
      </x:c>
      <x:c r="E7" s="14" t="str">
        <x:v>装配、位置</x:v>
      </x:c>
      <x:c r="F7" s="14" t="str">
        <x:v>处理手段较多，需确认污染仍成立</x:v>
      </x:c>
      <x:c r="G7" s="14" t="str">
        <x:v>5至7张奖励牌</x:v>
      </x:c>
      <x:c r="H7" s="14" t="str">
        <x:v>P1</x:v>
      </x:c>
    </x:row>
    <x:row r="8">
      <x:c r="A8" s="14" t="str">
        <x:v>生物废料</x:v>
      </x:c>
      <x:c r="B8" s="14" t="str">
        <x:v>培养舱</x:v>
      </x:c>
      <x:c r="C8" s="14" t="str">
        <x:v>代谢泵、双路回收、机生耦合器</x:v>
      </x:c>
      <x:c r="D8" s="14" t="str">
        <x:v>分类协议、异质增殖</x:v>
      </x:c>
      <x:c r="E8" s="14" t="str">
        <x:v>位置、混合回收</x:v>
      </x:c>
      <x:c r="F8" s="14" t="str">
        <x:v>来源仅1张，体系可能抽不到入口</x:v>
      </x:c>
      <x:c r="G8" s="14" t="str">
        <x:v>增加1张中稀有度来源或让现有牌兼容产废</x:v>
      </x:c>
      <x:c r="H8" s="14" t="str">
        <x:v>P1</x:v>
      </x:c>
    </x:row>
    <x:row r="9">
      <x:c r="A9" s="14" t="str">
        <x:v>混合废料</x:v>
      </x:c>
      <x:c r="B9" s="14" t="str">
        <x:v>机械来源+培养舱</x:v>
      </x:c>
      <x:c r="C9" s="14" t="str">
        <x:v>极性分选、双路回收、机生耦合器</x:v>
      </x:c>
      <x:c r="D9" s="14" t="str">
        <x:v>异质增殖、零废弃工厂</x:v>
      </x:c>
      <x:c r="E9" s="14" t="str">
        <x:v>两种废料</x:v>
      </x:c>
      <x:c r="F9" s="14" t="str">
        <x:v>要求高、奖励高，可能挤压单色废料路线</x:v>
      </x:c>
      <x:c r="G9" s="14" t="str">
        <x:v>3至4张即可</x:v>
      </x:c>
      <x:c r="H9" s="14" t="str">
        <x:v>P2</x:v>
      </x:c>
    </x:row>
    <x:row r="10">
      <x:c r="A10" s="14" t="str">
        <x:v>抽牌堆</x:v>
      </x:c>
      <x:c r="B10" s="14" t="str">
        <x:v>顶仓检视、二次投料</x:v>
      </x:c>
      <x:c r="C10" s="14" t="str">
        <x:v>底仓吊运、逆流换仓、先入先出</x:v>
      </x:c>
      <x:c r="D10" s="14" t="str">
        <x:v>顶层预装</x:v>
      </x:c>
      <x:c r="E10" s="14" t="str">
        <x:v>位置、装配</x:v>
      </x:c>
      <x:c r="F10" s="14" t="str">
        <x:v>顶层检索与直接预装叠加后稳定性过高</x:v>
      </x:c>
      <x:c r="G10" s="14" t="str">
        <x:v>4至5张</x:v>
      </x:c>
      <x:c r="H10" s="14" t="str">
        <x:v>P2</x:v>
      </x:c>
    </x:row>
    <x:row r="11">
      <x:c r="A11" s="14" t="str">
        <x:v>弃牌堆</x:v>
      </x:c>
      <x:c r="B11" s="14" t="str">
        <x:v>返工取件、返工抽检</x:v>
      </x:c>
      <x:c r="C11" s="14" t="str">
        <x:v>逆流换仓</x:v>
      </x:c>
      <x:c r="D11" s="14" t="str">
        <x:v>返工总线</x:v>
      </x:c>
      <x:c r="E11" s="14" t="str">
        <x:v>位置、装配</x:v>
      </x:c>
      <x:c r="F11" s="14" t="str">
        <x:v>返工取件与返工抽检功能重叠</x:v>
      </x:c>
      <x:c r="G11" s="14" t="str">
        <x:v>3至4张</x:v>
      </x:c>
      <x:c r="H11" s="14" t="str">
        <x:v>P2</x:v>
      </x:c>
    </x:row>
    <x:row r="12">
      <x:c r="A12" s="14" t="str">
        <x:v>消耗堆</x:v>
      </x:c>
      <x:c r="B12" s="14" t="str">
        <x:v>封存样件</x:v>
      </x:c>
      <x:c r="C12" s="14" t="str">
        <x:v>蓝图调用、旧版复刻</x:v>
      </x:c>
      <x:c r="D12" s="14" t="str">
        <x:v>蓝图库</x:v>
      </x:c>
      <x:c r="E12" s="14" t="str">
        <x:v>装配、模块顺序</x:v>
      </x:c>
      <x:c r="F12" s="14" t="str">
        <x:v>虚拟模块和临时复制生命周期复杂</x:v>
      </x:c>
      <x:c r="G12" s="14" t="str">
        <x:v>3至4张</x:v>
      </x:c>
      <x:c r="H12" s="14" t="str">
        <x:v>P1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c99973318474437"/>
  </x:tableParts>
</x:worksheet>
</file>